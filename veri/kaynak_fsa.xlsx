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eratyilmaz/Downloads/"/>
    </mc:Choice>
  </mc:AlternateContent>
  <xr:revisionPtr revIDLastSave="0" documentId="13_ncr:1_{FD2443C2-5B12-8F44-B8A4-CF375980B812}" xr6:coauthVersionLast="47" xr6:coauthVersionMax="47" xr10:uidLastSave="{00000000-0000-0000-0000-000000000000}"/>
  <bookViews>
    <workbookView xWindow="0" yWindow="660" windowWidth="29400" windowHeight="17320" tabRatio="500" firstSheet="18" activeTab="29" xr2:uid="{00000000-000D-0000-FFFF-FFFF00000000}"/>
  </bookViews>
  <sheets>
    <sheet name="GWIND_BS" sheetId="1" r:id="rId1"/>
    <sheet name="GWIND_PLS" sheetId="2" r:id="rId2"/>
    <sheet name="GWIND_CFS" sheetId="3" r:id="rId3"/>
    <sheet name="GWIND_Ratios" sheetId="4" r:id="rId4"/>
    <sheet name="ASTOR_BS" sheetId="5" r:id="rId5"/>
    <sheet name="ASTOR_PLS" sheetId="6" r:id="rId6"/>
    <sheet name="ASTOR_CFS" sheetId="7" r:id="rId7"/>
    <sheet name="ASTOR_Ratios" sheetId="8" r:id="rId8"/>
    <sheet name="AKSEN_BS" sheetId="9" r:id="rId9"/>
    <sheet name="AKSEN_PLS" sheetId="10" r:id="rId10"/>
    <sheet name="AKSEN_CFS" sheetId="11" r:id="rId11"/>
    <sheet name="AKSEN_Ratios" sheetId="12" r:id="rId12"/>
    <sheet name="ENJSA_BS" sheetId="13" r:id="rId13"/>
    <sheet name="ENJSA_PLS" sheetId="14" r:id="rId14"/>
    <sheet name="ENJSA_CFS" sheetId="15" r:id="rId15"/>
    <sheet name="ENJSA_Ratios" sheetId="16" r:id="rId16"/>
    <sheet name="ENJSA_Analysis" sheetId="17" r:id="rId17"/>
    <sheet name="SEKTOR_KARSILASTIRMASI" sheetId="18" r:id="rId18"/>
    <sheet name="AYDEM_BS" sheetId="19" r:id="rId19"/>
    <sheet name="AYDEM_PLS" sheetId="20" r:id="rId20"/>
    <sheet name="AYDEM_CFS" sheetId="21" r:id="rId21"/>
    <sheet name="AYDEM_Ratios" sheetId="22" r:id="rId22"/>
    <sheet name="ZOREN_BS" sheetId="23" r:id="rId23"/>
    <sheet name="ZOREN_PLS" sheetId="24" r:id="rId24"/>
    <sheet name="ZOREN_CFS" sheetId="25" r:id="rId25"/>
    <sheet name="ZOREN_Ratios" sheetId="26" r:id="rId26"/>
    <sheet name="AYEN_BS" sheetId="27" r:id="rId27"/>
    <sheet name="AYEN_PLS" sheetId="28" r:id="rId28"/>
    <sheet name="AYEN_CFS" sheetId="29" r:id="rId29"/>
    <sheet name="AYEN_Ratios" sheetId="30" r:id="rId3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3" i="30" l="1"/>
  <c r="H43" i="30"/>
  <c r="G43" i="30"/>
  <c r="F43" i="30"/>
  <c r="E43" i="30"/>
  <c r="D43" i="30"/>
  <c r="I39" i="30"/>
  <c r="I41" i="30" s="1"/>
  <c r="H39" i="30"/>
  <c r="G39" i="30"/>
  <c r="F39" i="30"/>
  <c r="E39" i="30"/>
  <c r="D39" i="30"/>
  <c r="D41" i="30" s="1"/>
  <c r="I36" i="30"/>
  <c r="H36" i="30"/>
  <c r="G36" i="30"/>
  <c r="F36" i="30"/>
  <c r="E36" i="30"/>
  <c r="D36" i="30"/>
  <c r="I35" i="30"/>
  <c r="I33" i="30"/>
  <c r="H33" i="30"/>
  <c r="G33" i="30"/>
  <c r="F33" i="30"/>
  <c r="E33" i="30"/>
  <c r="D33" i="30"/>
  <c r="I27" i="30"/>
  <c r="H27" i="30"/>
  <c r="G27" i="30"/>
  <c r="F27" i="30"/>
  <c r="E27" i="30"/>
  <c r="D27" i="30"/>
  <c r="I26" i="30"/>
  <c r="H26" i="30"/>
  <c r="G26" i="30"/>
  <c r="F26" i="30"/>
  <c r="E26" i="30"/>
  <c r="D26" i="30"/>
  <c r="I25" i="30"/>
  <c r="H25" i="30"/>
  <c r="G25" i="30"/>
  <c r="F25" i="30"/>
  <c r="E25" i="30"/>
  <c r="D25" i="30"/>
  <c r="I24" i="30"/>
  <c r="H24" i="30"/>
  <c r="G24" i="30"/>
  <c r="F24" i="30"/>
  <c r="E24" i="30"/>
  <c r="D24" i="30"/>
  <c r="G15" i="30"/>
  <c r="G10" i="30"/>
  <c r="G5" i="30"/>
  <c r="P40" i="29"/>
  <c r="O40" i="29"/>
  <c r="N40" i="29"/>
  <c r="M40" i="29"/>
  <c r="L40" i="29"/>
  <c r="P37" i="29"/>
  <c r="O37" i="29"/>
  <c r="N37" i="29"/>
  <c r="M37" i="29"/>
  <c r="L37" i="29"/>
  <c r="P36" i="29"/>
  <c r="O36" i="29"/>
  <c r="N36" i="29"/>
  <c r="M36" i="29"/>
  <c r="L36" i="29"/>
  <c r="P35" i="29"/>
  <c r="P34" i="29"/>
  <c r="O34" i="29"/>
  <c r="N34" i="29"/>
  <c r="M34" i="29"/>
  <c r="L34" i="29"/>
  <c r="Q27" i="29"/>
  <c r="O27" i="29"/>
  <c r="N27" i="29"/>
  <c r="M27" i="29"/>
  <c r="E26" i="29"/>
  <c r="R25" i="29"/>
  <c r="Q25" i="29"/>
  <c r="P25" i="29"/>
  <c r="O25" i="29"/>
  <c r="R24" i="29"/>
  <c r="Q24" i="29"/>
  <c r="T23" i="29"/>
  <c r="S23" i="29"/>
  <c r="R23" i="29"/>
  <c r="L23" i="29"/>
  <c r="J23" i="29"/>
  <c r="I23" i="29"/>
  <c r="H23" i="29"/>
  <c r="O38" i="29" s="1"/>
  <c r="G23" i="29"/>
  <c r="Q23" i="29" s="1"/>
  <c r="F23" i="29"/>
  <c r="P23" i="29" s="1"/>
  <c r="E23" i="29"/>
  <c r="O23" i="29" s="1"/>
  <c r="D23" i="29"/>
  <c r="M38" i="29" s="1"/>
  <c r="C23" i="29"/>
  <c r="M23" i="29" s="1"/>
  <c r="B23" i="29"/>
  <c r="N22" i="29"/>
  <c r="L22" i="29"/>
  <c r="Q21" i="29"/>
  <c r="O21" i="29"/>
  <c r="N21" i="29"/>
  <c r="M21" i="29"/>
  <c r="O20" i="29"/>
  <c r="N20" i="29"/>
  <c r="Q18" i="29"/>
  <c r="P18" i="29"/>
  <c r="O18" i="29"/>
  <c r="J18" i="29"/>
  <c r="T18" i="29" s="1"/>
  <c r="I18" i="29"/>
  <c r="H18" i="29"/>
  <c r="G18" i="29"/>
  <c r="G26" i="29" s="1"/>
  <c r="F18" i="29"/>
  <c r="N35" i="29" s="1"/>
  <c r="E18" i="29"/>
  <c r="D18" i="29"/>
  <c r="N18" i="29" s="1"/>
  <c r="C18" i="29"/>
  <c r="B18" i="29"/>
  <c r="R17" i="29"/>
  <c r="Q17" i="29"/>
  <c r="O17" i="29"/>
  <c r="M17" i="29"/>
  <c r="T16" i="29"/>
  <c r="S16" i="29"/>
  <c r="R16" i="29"/>
  <c r="Q16" i="29"/>
  <c r="N16" i="29"/>
  <c r="T14" i="29"/>
  <c r="R14" i="29"/>
  <c r="Q14" i="29"/>
  <c r="O14" i="29"/>
  <c r="J14" i="29"/>
  <c r="I14" i="29"/>
  <c r="H14" i="29"/>
  <c r="G31" i="30" s="1"/>
  <c r="G14" i="29"/>
  <c r="Q20" i="29" s="1"/>
  <c r="F14" i="29"/>
  <c r="E14" i="29"/>
  <c r="O22" i="29" s="1"/>
  <c r="D14" i="29"/>
  <c r="C14" i="29"/>
  <c r="M22" i="29" s="1"/>
  <c r="B14" i="29"/>
  <c r="T12" i="29"/>
  <c r="Q12" i="29"/>
  <c r="O12" i="29"/>
  <c r="N12" i="29"/>
  <c r="M12" i="29"/>
  <c r="R11" i="29"/>
  <c r="Q11" i="29"/>
  <c r="P11" i="29"/>
  <c r="O11" i="29"/>
  <c r="N11" i="29"/>
  <c r="M11" i="29"/>
  <c r="Q10" i="29"/>
  <c r="O10" i="29"/>
  <c r="N10" i="29"/>
  <c r="T9" i="29"/>
  <c r="R9" i="29"/>
  <c r="Q9" i="29"/>
  <c r="O9" i="29"/>
  <c r="R8" i="29"/>
  <c r="Q8" i="29"/>
  <c r="P8" i="29"/>
  <c r="O8" i="29"/>
  <c r="M8" i="29"/>
  <c r="R7" i="29"/>
  <c r="Q7" i="29"/>
  <c r="N7" i="29"/>
  <c r="L7" i="29"/>
  <c r="T6" i="29"/>
  <c r="R6" i="29"/>
  <c r="Q6" i="29"/>
  <c r="O6" i="29"/>
  <c r="M6" i="29"/>
  <c r="L6" i="29"/>
  <c r="T5" i="29"/>
  <c r="R5" i="29"/>
  <c r="Q5" i="29"/>
  <c r="O5" i="29"/>
  <c r="N5" i="29"/>
  <c r="M5" i="29"/>
  <c r="L5" i="29"/>
  <c r="T4" i="29"/>
  <c r="Q4" i="29"/>
  <c r="O4" i="29"/>
  <c r="N4" i="29"/>
  <c r="M4" i="29"/>
  <c r="L4" i="29"/>
  <c r="P39" i="28"/>
  <c r="O39" i="28"/>
  <c r="N39" i="28"/>
  <c r="M39" i="28"/>
  <c r="L39" i="28"/>
  <c r="P38" i="28"/>
  <c r="O38" i="28"/>
  <c r="N38" i="28"/>
  <c r="M38" i="28"/>
  <c r="L38" i="28"/>
  <c r="P36" i="28"/>
  <c r="O36" i="28"/>
  <c r="N36" i="28"/>
  <c r="M36" i="28"/>
  <c r="L36" i="28"/>
  <c r="P35" i="28"/>
  <c r="O35" i="28"/>
  <c r="N35" i="28"/>
  <c r="M35" i="28"/>
  <c r="L35" i="28"/>
  <c r="P33" i="28"/>
  <c r="O33" i="28"/>
  <c r="N33" i="28"/>
  <c r="M33" i="28"/>
  <c r="L33" i="28"/>
  <c r="O32" i="28"/>
  <c r="P31" i="28"/>
  <c r="O31" i="28"/>
  <c r="N31" i="28"/>
  <c r="M31" i="28"/>
  <c r="L31" i="28"/>
  <c r="P30" i="28"/>
  <c r="O30" i="28"/>
  <c r="N30" i="28"/>
  <c r="M30" i="28"/>
  <c r="L30" i="28"/>
  <c r="P29" i="28"/>
  <c r="O29" i="28"/>
  <c r="N29" i="28"/>
  <c r="M29" i="28"/>
  <c r="L29" i="28"/>
  <c r="P28" i="28"/>
  <c r="O28" i="28"/>
  <c r="N28" i="28"/>
  <c r="M28" i="28"/>
  <c r="L28" i="28"/>
  <c r="P27" i="28"/>
  <c r="O27" i="28"/>
  <c r="P26" i="28"/>
  <c r="O26" i="28"/>
  <c r="N26" i="28"/>
  <c r="M26" i="28"/>
  <c r="L26" i="28"/>
  <c r="P25" i="28"/>
  <c r="O25" i="28"/>
  <c r="N25" i="28"/>
  <c r="M25" i="28"/>
  <c r="L25" i="28"/>
  <c r="O19" i="28"/>
  <c r="E19" i="28"/>
  <c r="E20" i="28" s="1"/>
  <c r="T18" i="28"/>
  <c r="S18" i="28"/>
  <c r="R18" i="28"/>
  <c r="Q18" i="28"/>
  <c r="P18" i="28"/>
  <c r="O18" i="28"/>
  <c r="N18" i="28"/>
  <c r="M18" i="28"/>
  <c r="L18" i="28"/>
  <c r="T17" i="28"/>
  <c r="S17" i="28"/>
  <c r="R17" i="28"/>
  <c r="Q17" i="28"/>
  <c r="P17" i="28"/>
  <c r="O17" i="28"/>
  <c r="N17" i="28"/>
  <c r="M17" i="28"/>
  <c r="L17" i="28"/>
  <c r="O16" i="28"/>
  <c r="T15" i="28"/>
  <c r="S15" i="28"/>
  <c r="R15" i="28"/>
  <c r="Q15" i="28"/>
  <c r="P15" i="28"/>
  <c r="O15" i="28"/>
  <c r="N15" i="28"/>
  <c r="M15" i="28"/>
  <c r="L15" i="28"/>
  <c r="T14" i="28"/>
  <c r="S14" i="28"/>
  <c r="R14" i="28"/>
  <c r="Q14" i="28"/>
  <c r="P14" i="28"/>
  <c r="O14" i="28"/>
  <c r="N14" i="28"/>
  <c r="M14" i="28"/>
  <c r="L14" i="28"/>
  <c r="O13" i="28"/>
  <c r="L13" i="28"/>
  <c r="E13" i="28"/>
  <c r="B13" i="28"/>
  <c r="T12" i="28"/>
  <c r="S12" i="28"/>
  <c r="R12" i="28"/>
  <c r="Q12" i="28"/>
  <c r="P12" i="28"/>
  <c r="O12" i="28"/>
  <c r="N12" i="28"/>
  <c r="M12" i="28"/>
  <c r="L12" i="28"/>
  <c r="O11" i="28"/>
  <c r="J11" i="28"/>
  <c r="I11" i="28"/>
  <c r="E11" i="28"/>
  <c r="E16" i="28" s="1"/>
  <c r="C11" i="28"/>
  <c r="M11" i="28" s="1"/>
  <c r="B11" i="28"/>
  <c r="L11" i="28" s="1"/>
  <c r="T10" i="28"/>
  <c r="S10" i="28"/>
  <c r="R10" i="28"/>
  <c r="Q10" i="28"/>
  <c r="P10" i="28"/>
  <c r="O10" i="28"/>
  <c r="N10" i="28"/>
  <c r="M10" i="28"/>
  <c r="L10" i="28"/>
  <c r="T9" i="28"/>
  <c r="S9" i="28"/>
  <c r="R9" i="28"/>
  <c r="Q9" i="28"/>
  <c r="P9" i="28"/>
  <c r="O9" i="28"/>
  <c r="N9" i="28"/>
  <c r="M9" i="28"/>
  <c r="L9" i="28"/>
  <c r="T8" i="28"/>
  <c r="S8" i="28"/>
  <c r="R8" i="28"/>
  <c r="Q8" i="28"/>
  <c r="P8" i="28"/>
  <c r="O8" i="28"/>
  <c r="N8" i="28"/>
  <c r="M8" i="28"/>
  <c r="L8" i="28"/>
  <c r="T7" i="28"/>
  <c r="S7" i="28"/>
  <c r="R7" i="28"/>
  <c r="Q7" i="28"/>
  <c r="P7" i="28"/>
  <c r="O7" i="28"/>
  <c r="N7" i="28"/>
  <c r="M7" i="28"/>
  <c r="L7" i="28"/>
  <c r="T6" i="28"/>
  <c r="O6" i="28"/>
  <c r="M6" i="28"/>
  <c r="L6" i="28"/>
  <c r="J6" i="28"/>
  <c r="I15" i="30" s="1"/>
  <c r="I6" i="28"/>
  <c r="H6" i="28"/>
  <c r="H11" i="28" s="1"/>
  <c r="G6" i="28"/>
  <c r="G11" i="28" s="1"/>
  <c r="F6" i="28"/>
  <c r="E6" i="28"/>
  <c r="D6" i="28"/>
  <c r="C6" i="28"/>
  <c r="L27" i="28" s="1"/>
  <c r="B6" i="28"/>
  <c r="D15" i="30" s="1"/>
  <c r="T5" i="28"/>
  <c r="S5" i="28"/>
  <c r="R5" i="28"/>
  <c r="Q5" i="28"/>
  <c r="P5" i="28"/>
  <c r="O5" i="28"/>
  <c r="N5" i="28"/>
  <c r="M5" i="28"/>
  <c r="L5" i="28"/>
  <c r="T4" i="28"/>
  <c r="S4" i="28"/>
  <c r="R4" i="28"/>
  <c r="Q4" i="28"/>
  <c r="P4" i="28"/>
  <c r="O4" i="28"/>
  <c r="N4" i="28"/>
  <c r="M4" i="28"/>
  <c r="L4" i="28"/>
  <c r="L59" i="27"/>
  <c r="P58" i="27"/>
  <c r="O58" i="27"/>
  <c r="N58" i="27"/>
  <c r="M58" i="27"/>
  <c r="L58" i="27"/>
  <c r="P57" i="27"/>
  <c r="O57" i="27"/>
  <c r="N57" i="27"/>
  <c r="M57" i="27"/>
  <c r="L57" i="27"/>
  <c r="O55" i="27"/>
  <c r="N55" i="27"/>
  <c r="P54" i="27"/>
  <c r="O54" i="27"/>
  <c r="N54" i="27"/>
  <c r="M54" i="27"/>
  <c r="L54" i="27"/>
  <c r="P53" i="27"/>
  <c r="O53" i="27"/>
  <c r="L53" i="27"/>
  <c r="P52" i="27"/>
  <c r="O52" i="27"/>
  <c r="N52" i="27"/>
  <c r="M52" i="27"/>
  <c r="L52" i="27"/>
  <c r="P51" i="27"/>
  <c r="O51" i="27"/>
  <c r="N51" i="27"/>
  <c r="M51" i="27"/>
  <c r="L51" i="27"/>
  <c r="O49" i="27"/>
  <c r="N49" i="27"/>
  <c r="P48" i="27"/>
  <c r="O48" i="27"/>
  <c r="N48" i="27"/>
  <c r="M48" i="27"/>
  <c r="L48" i="27"/>
  <c r="P47" i="27"/>
  <c r="O47" i="27"/>
  <c r="N47" i="27"/>
  <c r="M47" i="27"/>
  <c r="L47" i="27"/>
  <c r="P46" i="27"/>
  <c r="O46" i="27"/>
  <c r="N46" i="27"/>
  <c r="M46" i="27"/>
  <c r="L46" i="27"/>
  <c r="M45" i="27"/>
  <c r="L45" i="27"/>
  <c r="P44" i="27"/>
  <c r="O44" i="27"/>
  <c r="N44" i="27"/>
  <c r="M44" i="27"/>
  <c r="L44" i="27"/>
  <c r="P43" i="27"/>
  <c r="O43" i="27"/>
  <c r="N43" i="27"/>
  <c r="M43" i="27"/>
  <c r="L43" i="27"/>
  <c r="P42" i="27"/>
  <c r="O42" i="27"/>
  <c r="N42" i="27"/>
  <c r="M42" i="27"/>
  <c r="L42" i="27"/>
  <c r="P41" i="27"/>
  <c r="O41" i="27"/>
  <c r="N41" i="27"/>
  <c r="M41" i="27"/>
  <c r="L41" i="27"/>
  <c r="N33" i="27"/>
  <c r="J33" i="27"/>
  <c r="I10" i="30" s="1"/>
  <c r="I33" i="27"/>
  <c r="H33" i="27"/>
  <c r="G35" i="30" s="1"/>
  <c r="G33" i="27"/>
  <c r="F33" i="27"/>
  <c r="E33" i="27"/>
  <c r="M59" i="27" s="1"/>
  <c r="D33" i="27"/>
  <c r="E35" i="30" s="1"/>
  <c r="C33" i="27"/>
  <c r="B33" i="27"/>
  <c r="O31" i="27"/>
  <c r="O29" i="27"/>
  <c r="D27" i="27"/>
  <c r="J26" i="27"/>
  <c r="I26" i="27"/>
  <c r="H26" i="27"/>
  <c r="H27" i="27" s="1"/>
  <c r="G26" i="27"/>
  <c r="F26" i="27"/>
  <c r="E26" i="27"/>
  <c r="O26" i="27" s="1"/>
  <c r="D26" i="27"/>
  <c r="C26" i="27"/>
  <c r="B26" i="27"/>
  <c r="R24" i="27"/>
  <c r="J22" i="27"/>
  <c r="I22" i="27"/>
  <c r="H22" i="27"/>
  <c r="G6" i="30" s="1"/>
  <c r="G22" i="27"/>
  <c r="F22" i="27"/>
  <c r="E22" i="27"/>
  <c r="D22" i="27"/>
  <c r="C22" i="27"/>
  <c r="B22" i="27"/>
  <c r="O21" i="27"/>
  <c r="R20" i="27"/>
  <c r="O20" i="27"/>
  <c r="O19" i="27"/>
  <c r="H16" i="27"/>
  <c r="R25" i="27" s="1"/>
  <c r="B16" i="27"/>
  <c r="R14" i="27"/>
  <c r="J14" i="27"/>
  <c r="J16" i="27" s="1"/>
  <c r="I14" i="27"/>
  <c r="P49" i="27" s="1"/>
  <c r="H14" i="27"/>
  <c r="G14" i="27"/>
  <c r="F14" i="27"/>
  <c r="E14" i="27"/>
  <c r="O14" i="27" s="1"/>
  <c r="D14" i="27"/>
  <c r="C14" i="27"/>
  <c r="C16" i="27" s="1"/>
  <c r="B14" i="27"/>
  <c r="L49" i="27" s="1"/>
  <c r="O13" i="27"/>
  <c r="M13" i="27"/>
  <c r="L13" i="27"/>
  <c r="M12" i="27"/>
  <c r="O11" i="27"/>
  <c r="N11" i="27"/>
  <c r="O9" i="27"/>
  <c r="J9" i="27"/>
  <c r="I4" i="30" s="1"/>
  <c r="I9" i="27"/>
  <c r="H9" i="27"/>
  <c r="G9" i="27"/>
  <c r="F9" i="27"/>
  <c r="E9" i="27"/>
  <c r="E16" i="27" s="1"/>
  <c r="D9" i="27"/>
  <c r="D16" i="27" s="1"/>
  <c r="E23" i="30" s="1"/>
  <c r="C9" i="27"/>
  <c r="M9" i="27" s="1"/>
  <c r="B9" i="27"/>
  <c r="D4" i="30" s="1"/>
  <c r="R8" i="27"/>
  <c r="M8" i="27"/>
  <c r="M7" i="27"/>
  <c r="O6" i="27"/>
  <c r="N6" i="27"/>
  <c r="M6" i="27"/>
  <c r="T5" i="27"/>
  <c r="O5" i="27"/>
  <c r="N5" i="27"/>
  <c r="M5" i="27"/>
  <c r="L5" i="27"/>
  <c r="I43" i="26"/>
  <c r="H43" i="26"/>
  <c r="G43" i="26"/>
  <c r="F43" i="26"/>
  <c r="E43" i="26"/>
  <c r="D43" i="26"/>
  <c r="H45" i="18" s="1"/>
  <c r="I39" i="26"/>
  <c r="H39" i="26"/>
  <c r="G39" i="26"/>
  <c r="F39" i="26"/>
  <c r="E39" i="26"/>
  <c r="D39" i="26"/>
  <c r="I36" i="26"/>
  <c r="H36" i="26"/>
  <c r="G36" i="26"/>
  <c r="F36" i="26"/>
  <c r="E36" i="26"/>
  <c r="D36" i="26"/>
  <c r="I33" i="26"/>
  <c r="H33" i="26"/>
  <c r="G33" i="26"/>
  <c r="F33" i="26"/>
  <c r="E33" i="26"/>
  <c r="D33" i="26"/>
  <c r="I31" i="26"/>
  <c r="H31" i="26"/>
  <c r="D31" i="26"/>
  <c r="I27" i="26"/>
  <c r="H27" i="26"/>
  <c r="G27" i="26"/>
  <c r="F27" i="26"/>
  <c r="E27" i="26"/>
  <c r="D27" i="26"/>
  <c r="I26" i="26"/>
  <c r="H26" i="26"/>
  <c r="G26" i="26"/>
  <c r="F26" i="26"/>
  <c r="E26" i="26"/>
  <c r="D26" i="26"/>
  <c r="I25" i="26"/>
  <c r="H25" i="26"/>
  <c r="G25" i="26"/>
  <c r="F25" i="26"/>
  <c r="E25" i="26"/>
  <c r="D25" i="26"/>
  <c r="I24" i="26"/>
  <c r="H24" i="26"/>
  <c r="G24" i="26"/>
  <c r="F24" i="26"/>
  <c r="E24" i="26"/>
  <c r="D24" i="26"/>
  <c r="E15" i="26"/>
  <c r="G10" i="26"/>
  <c r="H6" i="26"/>
  <c r="H5" i="26"/>
  <c r="P39" i="25"/>
  <c r="O39" i="25"/>
  <c r="N39" i="25"/>
  <c r="M39" i="25"/>
  <c r="L39" i="25"/>
  <c r="O37" i="25"/>
  <c r="P36" i="25"/>
  <c r="O36" i="25"/>
  <c r="N36" i="25"/>
  <c r="M36" i="25"/>
  <c r="L36" i="25"/>
  <c r="P34" i="25"/>
  <c r="O34" i="25"/>
  <c r="N34" i="25"/>
  <c r="M34" i="25"/>
  <c r="L34" i="25"/>
  <c r="Q27" i="25"/>
  <c r="N27" i="25"/>
  <c r="L27" i="25"/>
  <c r="J26" i="25"/>
  <c r="G26" i="25"/>
  <c r="G28" i="25" s="1"/>
  <c r="Q28" i="25" s="1"/>
  <c r="T25" i="25"/>
  <c r="Q25" i="25"/>
  <c r="O25" i="25"/>
  <c r="L25" i="25"/>
  <c r="T24" i="25"/>
  <c r="Q24" i="25"/>
  <c r="N24" i="25"/>
  <c r="L24" i="25"/>
  <c r="T23" i="25"/>
  <c r="Q23" i="25"/>
  <c r="J23" i="25"/>
  <c r="P37" i="25" s="1"/>
  <c r="I23" i="25"/>
  <c r="S23" i="25" s="1"/>
  <c r="H23" i="25"/>
  <c r="G23" i="25"/>
  <c r="F23" i="25"/>
  <c r="E23" i="25"/>
  <c r="D23" i="25"/>
  <c r="M37" i="25" s="1"/>
  <c r="C23" i="25"/>
  <c r="B23" i="25"/>
  <c r="M22" i="25"/>
  <c r="T21" i="25"/>
  <c r="S21" i="25"/>
  <c r="Q21" i="25"/>
  <c r="N21" i="25"/>
  <c r="L21" i="25"/>
  <c r="T20" i="25"/>
  <c r="S20" i="25"/>
  <c r="R20" i="25"/>
  <c r="Q20" i="25"/>
  <c r="O20" i="25"/>
  <c r="L20" i="25"/>
  <c r="M18" i="25"/>
  <c r="J18" i="25"/>
  <c r="T18" i="25" s="1"/>
  <c r="I18" i="25"/>
  <c r="H18" i="25"/>
  <c r="G18" i="25"/>
  <c r="Q18" i="25" s="1"/>
  <c r="F18" i="25"/>
  <c r="E18" i="25"/>
  <c r="D18" i="25"/>
  <c r="C18" i="25"/>
  <c r="B18" i="25"/>
  <c r="T17" i="25"/>
  <c r="S17" i="25"/>
  <c r="R17" i="25"/>
  <c r="N17" i="25"/>
  <c r="L17" i="25"/>
  <c r="T16" i="25"/>
  <c r="S16" i="25"/>
  <c r="P16" i="25"/>
  <c r="N16" i="25"/>
  <c r="L16" i="25"/>
  <c r="T14" i="25"/>
  <c r="Q14" i="25"/>
  <c r="N14" i="25"/>
  <c r="L14" i="25"/>
  <c r="J14" i="25"/>
  <c r="I14" i="25"/>
  <c r="H14" i="25"/>
  <c r="G14" i="25"/>
  <c r="Q17" i="25" s="1"/>
  <c r="F14" i="25"/>
  <c r="E14" i="25"/>
  <c r="O27" i="25" s="1"/>
  <c r="D14" i="25"/>
  <c r="C14" i="25"/>
  <c r="B14" i="25"/>
  <c r="L22" i="25" s="1"/>
  <c r="T13" i="25"/>
  <c r="S13" i="25"/>
  <c r="Q13" i="25"/>
  <c r="P13" i="25"/>
  <c r="N13" i="25"/>
  <c r="L13" i="25"/>
  <c r="T12" i="25"/>
  <c r="S12" i="25"/>
  <c r="Q12" i="25"/>
  <c r="L12" i="25"/>
  <c r="T11" i="25"/>
  <c r="S11" i="25"/>
  <c r="R11" i="25"/>
  <c r="L11" i="25"/>
  <c r="T10" i="25"/>
  <c r="S10" i="25"/>
  <c r="Q10" i="25"/>
  <c r="N10" i="25"/>
  <c r="L10" i="25"/>
  <c r="T9" i="25"/>
  <c r="S9" i="25"/>
  <c r="R9" i="25"/>
  <c r="N9" i="25"/>
  <c r="L9" i="25"/>
  <c r="T8" i="25"/>
  <c r="S8" i="25"/>
  <c r="N8" i="25"/>
  <c r="L8" i="25"/>
  <c r="T7" i="25"/>
  <c r="Q7" i="25"/>
  <c r="O7" i="25"/>
  <c r="N7" i="25"/>
  <c r="L7" i="25"/>
  <c r="T6" i="25"/>
  <c r="S6" i="25"/>
  <c r="R6" i="25"/>
  <c r="Q6" i="25"/>
  <c r="O6" i="25"/>
  <c r="N6" i="25"/>
  <c r="L6" i="25"/>
  <c r="T5" i="25"/>
  <c r="S5" i="25"/>
  <c r="Q5" i="25"/>
  <c r="N5" i="25"/>
  <c r="L5" i="25"/>
  <c r="T4" i="25"/>
  <c r="S4" i="25"/>
  <c r="R4" i="25"/>
  <c r="Q4" i="25"/>
  <c r="O4" i="25"/>
  <c r="L4" i="25"/>
  <c r="P43" i="24"/>
  <c r="O43" i="24"/>
  <c r="N43" i="24"/>
  <c r="M43" i="24"/>
  <c r="L43" i="24"/>
  <c r="P42" i="24"/>
  <c r="O42" i="24"/>
  <c r="N42" i="24"/>
  <c r="M42" i="24"/>
  <c r="L42" i="24"/>
  <c r="P41" i="24"/>
  <c r="O41" i="24"/>
  <c r="N41" i="24"/>
  <c r="M41" i="24"/>
  <c r="L41" i="24"/>
  <c r="P39" i="24"/>
  <c r="O39" i="24"/>
  <c r="N39" i="24"/>
  <c r="M39" i="24"/>
  <c r="L39" i="24"/>
  <c r="P38" i="24"/>
  <c r="O38" i="24"/>
  <c r="N38" i="24"/>
  <c r="M38" i="24"/>
  <c r="L38" i="24"/>
  <c r="P36" i="24"/>
  <c r="O36" i="24"/>
  <c r="N36" i="24"/>
  <c r="M36" i="24"/>
  <c r="L36" i="24"/>
  <c r="N35" i="24"/>
  <c r="P34" i="24"/>
  <c r="O34" i="24"/>
  <c r="N34" i="24"/>
  <c r="M34" i="24"/>
  <c r="L34" i="24"/>
  <c r="P33" i="24"/>
  <c r="O33" i="24"/>
  <c r="N33" i="24"/>
  <c r="M33" i="24"/>
  <c r="L33" i="24"/>
  <c r="P32" i="24"/>
  <c r="O32" i="24"/>
  <c r="N32" i="24"/>
  <c r="M32" i="24"/>
  <c r="L32" i="24"/>
  <c r="P31" i="24"/>
  <c r="O31" i="24"/>
  <c r="N31" i="24"/>
  <c r="M31" i="24"/>
  <c r="L31" i="24"/>
  <c r="P30" i="24"/>
  <c r="O30" i="24"/>
  <c r="N30" i="24"/>
  <c r="M30" i="24"/>
  <c r="L30" i="24"/>
  <c r="O29" i="24"/>
  <c r="P28" i="24"/>
  <c r="O28" i="24"/>
  <c r="N28" i="24"/>
  <c r="M28" i="24"/>
  <c r="L28" i="24"/>
  <c r="P27" i="24"/>
  <c r="O27" i="24"/>
  <c r="N27" i="24"/>
  <c r="M27" i="24"/>
  <c r="L27" i="24"/>
  <c r="G21" i="24"/>
  <c r="D21" i="24"/>
  <c r="T20" i="24"/>
  <c r="S20" i="24"/>
  <c r="R20" i="24"/>
  <c r="Q20" i="24"/>
  <c r="P20" i="24"/>
  <c r="O20" i="24"/>
  <c r="N20" i="24"/>
  <c r="M20" i="24"/>
  <c r="L20" i="24"/>
  <c r="T19" i="24"/>
  <c r="S19" i="24"/>
  <c r="R19" i="24"/>
  <c r="Q19" i="24"/>
  <c r="P19" i="24"/>
  <c r="O19" i="24"/>
  <c r="N19" i="24"/>
  <c r="M19" i="24"/>
  <c r="L19" i="24"/>
  <c r="T18" i="24"/>
  <c r="S18" i="24"/>
  <c r="R18" i="24"/>
  <c r="Q18" i="24"/>
  <c r="P18" i="24"/>
  <c r="O18" i="24"/>
  <c r="N18" i="24"/>
  <c r="M18" i="24"/>
  <c r="L18" i="24"/>
  <c r="G17" i="24"/>
  <c r="Q17" i="24" s="1"/>
  <c r="D17" i="24"/>
  <c r="C17" i="24"/>
  <c r="T16" i="24"/>
  <c r="S16" i="24"/>
  <c r="R16" i="24"/>
  <c r="Q16" i="24"/>
  <c r="P16" i="24"/>
  <c r="O16" i="24"/>
  <c r="N16" i="24"/>
  <c r="M16" i="24"/>
  <c r="L16" i="24"/>
  <c r="T15" i="24"/>
  <c r="S15" i="24"/>
  <c r="R15" i="24"/>
  <c r="Q15" i="24"/>
  <c r="P15" i="24"/>
  <c r="O15" i="24"/>
  <c r="N15" i="24"/>
  <c r="M15" i="24"/>
  <c r="L15" i="24"/>
  <c r="N14" i="24"/>
  <c r="D14" i="24"/>
  <c r="C14" i="24"/>
  <c r="M14" i="24" s="1"/>
  <c r="T13" i="24"/>
  <c r="S13" i="24"/>
  <c r="R13" i="24"/>
  <c r="Q13" i="24"/>
  <c r="P13" i="24"/>
  <c r="O13" i="24"/>
  <c r="N13" i="24"/>
  <c r="M13" i="24"/>
  <c r="L13" i="24"/>
  <c r="Q12" i="24"/>
  <c r="H12" i="24"/>
  <c r="F12" i="24"/>
  <c r="D12" i="24"/>
  <c r="C12" i="24"/>
  <c r="M12" i="24" s="1"/>
  <c r="T11" i="24"/>
  <c r="S11" i="24"/>
  <c r="R11" i="24"/>
  <c r="Q11" i="24"/>
  <c r="P11" i="24"/>
  <c r="O11" i="24"/>
  <c r="N11" i="24"/>
  <c r="M11" i="24"/>
  <c r="L11" i="24"/>
  <c r="T10" i="24"/>
  <c r="S10" i="24"/>
  <c r="R10" i="24"/>
  <c r="Q10" i="24"/>
  <c r="P10" i="24"/>
  <c r="O10" i="24"/>
  <c r="N10" i="24"/>
  <c r="M10" i="24"/>
  <c r="L10" i="24"/>
  <c r="T9" i="24"/>
  <c r="S9" i="24"/>
  <c r="R9" i="24"/>
  <c r="Q9" i="24"/>
  <c r="P9" i="24"/>
  <c r="O9" i="24"/>
  <c r="N9" i="24"/>
  <c r="M9" i="24"/>
  <c r="L9" i="24"/>
  <c r="T8" i="24"/>
  <c r="S8" i="24"/>
  <c r="R8" i="24"/>
  <c r="Q8" i="24"/>
  <c r="P8" i="24"/>
  <c r="O8" i="24"/>
  <c r="N8" i="24"/>
  <c r="M8" i="24"/>
  <c r="L8" i="24"/>
  <c r="T7" i="24"/>
  <c r="S7" i="24"/>
  <c r="R7" i="24"/>
  <c r="Q7" i="24"/>
  <c r="P7" i="24"/>
  <c r="O7" i="24"/>
  <c r="N7" i="24"/>
  <c r="M7" i="24"/>
  <c r="L7" i="24"/>
  <c r="Q6" i="24"/>
  <c r="P6" i="24"/>
  <c r="N6" i="24"/>
  <c r="J6" i="24"/>
  <c r="J12" i="24" s="1"/>
  <c r="I6" i="24"/>
  <c r="I12" i="24" s="1"/>
  <c r="H6" i="24"/>
  <c r="G15" i="26" s="1"/>
  <c r="G6" i="24"/>
  <c r="G12" i="24" s="1"/>
  <c r="G14" i="24" s="1"/>
  <c r="Q14" i="24" s="1"/>
  <c r="F6" i="24"/>
  <c r="N29" i="24" s="1"/>
  <c r="E6" i="24"/>
  <c r="D6" i="24"/>
  <c r="M29" i="24" s="1"/>
  <c r="C6" i="24"/>
  <c r="M6" i="24" s="1"/>
  <c r="B6" i="24"/>
  <c r="T5" i="24"/>
  <c r="S5" i="24"/>
  <c r="R5" i="24"/>
  <c r="Q5" i="24"/>
  <c r="P5" i="24"/>
  <c r="O5" i="24"/>
  <c r="N5" i="24"/>
  <c r="M5" i="24"/>
  <c r="L5" i="24"/>
  <c r="T4" i="24"/>
  <c r="S4" i="24"/>
  <c r="R4" i="24"/>
  <c r="Q4" i="24"/>
  <c r="P4" i="24"/>
  <c r="O4" i="24"/>
  <c r="N4" i="24"/>
  <c r="M4" i="24"/>
  <c r="L4" i="24"/>
  <c r="N59" i="23"/>
  <c r="M59" i="23"/>
  <c r="P58" i="23"/>
  <c r="O58" i="23"/>
  <c r="N58" i="23"/>
  <c r="M58" i="23"/>
  <c r="L58" i="23"/>
  <c r="P57" i="23"/>
  <c r="O57" i="23"/>
  <c r="N57" i="23"/>
  <c r="M57" i="23"/>
  <c r="L57" i="23"/>
  <c r="O55" i="23"/>
  <c r="P54" i="23"/>
  <c r="O54" i="23"/>
  <c r="N54" i="23"/>
  <c r="M54" i="23"/>
  <c r="L54" i="23"/>
  <c r="L53" i="23"/>
  <c r="P52" i="23"/>
  <c r="O52" i="23"/>
  <c r="N52" i="23"/>
  <c r="M52" i="23"/>
  <c r="L52" i="23"/>
  <c r="P51" i="23"/>
  <c r="O51" i="23"/>
  <c r="N51" i="23"/>
  <c r="M51" i="23"/>
  <c r="L51" i="23"/>
  <c r="O49" i="23"/>
  <c r="M49" i="23"/>
  <c r="P48" i="23"/>
  <c r="O48" i="23"/>
  <c r="N48" i="23"/>
  <c r="M48" i="23"/>
  <c r="L48" i="23"/>
  <c r="P47" i="23"/>
  <c r="O47" i="23"/>
  <c r="N47" i="23"/>
  <c r="M47" i="23"/>
  <c r="L47" i="23"/>
  <c r="P46" i="23"/>
  <c r="O46" i="23"/>
  <c r="N46" i="23"/>
  <c r="M46" i="23"/>
  <c r="L46" i="23"/>
  <c r="N45" i="23"/>
  <c r="M45" i="23"/>
  <c r="P44" i="23"/>
  <c r="O44" i="23"/>
  <c r="N44" i="23"/>
  <c r="M44" i="23"/>
  <c r="L44" i="23"/>
  <c r="P43" i="23"/>
  <c r="O43" i="23"/>
  <c r="N43" i="23"/>
  <c r="M43" i="23"/>
  <c r="L43" i="23"/>
  <c r="P42" i="23"/>
  <c r="O42" i="23"/>
  <c r="N42" i="23"/>
  <c r="M42" i="23"/>
  <c r="L42" i="23"/>
  <c r="P41" i="23"/>
  <c r="O41" i="23"/>
  <c r="N41" i="23"/>
  <c r="M41" i="23"/>
  <c r="L41" i="23"/>
  <c r="J33" i="23"/>
  <c r="I33" i="23"/>
  <c r="O59" i="23" s="1"/>
  <c r="H33" i="23"/>
  <c r="G33" i="23"/>
  <c r="F33" i="23"/>
  <c r="F10" i="26" s="1"/>
  <c r="E33" i="23"/>
  <c r="D33" i="23"/>
  <c r="C33" i="23"/>
  <c r="M33" i="23" s="1"/>
  <c r="B33" i="23"/>
  <c r="S31" i="23"/>
  <c r="B27" i="23"/>
  <c r="B34" i="23" s="1"/>
  <c r="J26" i="23"/>
  <c r="I26" i="23"/>
  <c r="H26" i="23"/>
  <c r="G26" i="23"/>
  <c r="F26" i="23"/>
  <c r="N55" i="23" s="1"/>
  <c r="E26" i="23"/>
  <c r="D26" i="23"/>
  <c r="C26" i="23"/>
  <c r="B26" i="23"/>
  <c r="L55" i="23" s="1"/>
  <c r="S24" i="23"/>
  <c r="J22" i="23"/>
  <c r="I5" i="26" s="1"/>
  <c r="I22" i="23"/>
  <c r="P53" i="23" s="1"/>
  <c r="H22" i="23"/>
  <c r="G22" i="23"/>
  <c r="G27" i="23" s="1"/>
  <c r="F22" i="23"/>
  <c r="E22" i="23"/>
  <c r="E27" i="23" s="1"/>
  <c r="D22" i="23"/>
  <c r="C22" i="23"/>
  <c r="B22" i="23"/>
  <c r="D6" i="26" s="1"/>
  <c r="R21" i="23"/>
  <c r="O21" i="23"/>
  <c r="I16" i="23"/>
  <c r="H16" i="23"/>
  <c r="S14" i="23"/>
  <c r="J14" i="23"/>
  <c r="P49" i="23" s="1"/>
  <c r="I14" i="23"/>
  <c r="H14" i="23"/>
  <c r="G14" i="23"/>
  <c r="F14" i="23"/>
  <c r="E14" i="23"/>
  <c r="E16" i="23" s="1"/>
  <c r="O31" i="23" s="1"/>
  <c r="D14" i="23"/>
  <c r="C14" i="23"/>
  <c r="B14" i="23"/>
  <c r="R13" i="23"/>
  <c r="R12" i="23"/>
  <c r="O12" i="23"/>
  <c r="J9" i="23"/>
  <c r="J16" i="23" s="1"/>
  <c r="I9" i="23"/>
  <c r="H9" i="23"/>
  <c r="G9" i="23"/>
  <c r="F9" i="23"/>
  <c r="E9" i="23"/>
  <c r="D9" i="23"/>
  <c r="C9" i="23"/>
  <c r="C16" i="23" s="1"/>
  <c r="M16" i="23" s="1"/>
  <c r="B9" i="23"/>
  <c r="R5" i="23"/>
  <c r="H43" i="22"/>
  <c r="G43" i="22"/>
  <c r="F43" i="22"/>
  <c r="E43" i="22"/>
  <c r="D43" i="22"/>
  <c r="H39" i="22"/>
  <c r="G39" i="22"/>
  <c r="F39" i="22"/>
  <c r="E39" i="22"/>
  <c r="D39" i="22"/>
  <c r="I36" i="22"/>
  <c r="H36" i="22"/>
  <c r="G36" i="22"/>
  <c r="F36" i="22"/>
  <c r="E36" i="22"/>
  <c r="D36" i="22"/>
  <c r="I33" i="22"/>
  <c r="H33" i="22"/>
  <c r="G33" i="22"/>
  <c r="F33" i="22"/>
  <c r="E33" i="22"/>
  <c r="D33" i="22"/>
  <c r="I31" i="22"/>
  <c r="H31" i="22"/>
  <c r="G31" i="22"/>
  <c r="F31" i="22"/>
  <c r="D31" i="22"/>
  <c r="I27" i="22"/>
  <c r="H27" i="22"/>
  <c r="G27" i="22"/>
  <c r="F27" i="22"/>
  <c r="E27" i="22"/>
  <c r="D27" i="22"/>
  <c r="I26" i="22"/>
  <c r="H26" i="22"/>
  <c r="G26" i="22"/>
  <c r="F26" i="22"/>
  <c r="E26" i="22"/>
  <c r="D26" i="22"/>
  <c r="I25" i="22"/>
  <c r="H25" i="22"/>
  <c r="G25" i="22"/>
  <c r="F25" i="22"/>
  <c r="E25" i="22"/>
  <c r="D25" i="22"/>
  <c r="I24" i="22"/>
  <c r="H24" i="22"/>
  <c r="G24" i="22"/>
  <c r="F24" i="22"/>
  <c r="E24" i="22"/>
  <c r="D24" i="22"/>
  <c r="H10" i="22"/>
  <c r="D10" i="22"/>
  <c r="P38" i="21"/>
  <c r="O38" i="21"/>
  <c r="N38" i="21"/>
  <c r="M38" i="21"/>
  <c r="L38" i="21"/>
  <c r="O36" i="21"/>
  <c r="M36" i="21"/>
  <c r="L36" i="21"/>
  <c r="P35" i="21"/>
  <c r="O35" i="21"/>
  <c r="N35" i="21"/>
  <c r="M35" i="21"/>
  <c r="L35" i="21"/>
  <c r="P34" i="21"/>
  <c r="O34" i="21"/>
  <c r="N34" i="21"/>
  <c r="M34" i="21"/>
  <c r="L34" i="21"/>
  <c r="P32" i="21"/>
  <c r="O32" i="21"/>
  <c r="N32" i="21"/>
  <c r="M32" i="21"/>
  <c r="L32" i="21"/>
  <c r="P31" i="21"/>
  <c r="N31" i="21"/>
  <c r="F25" i="21"/>
  <c r="P25" i="21" s="1"/>
  <c r="S24" i="21"/>
  <c r="R24" i="21"/>
  <c r="Q24" i="21"/>
  <c r="P24" i="21"/>
  <c r="O24" i="21"/>
  <c r="S23" i="21"/>
  <c r="P23" i="21"/>
  <c r="L23" i="21"/>
  <c r="I23" i="21"/>
  <c r="I25" i="21" s="1"/>
  <c r="S25" i="21" s="1"/>
  <c r="F23" i="21"/>
  <c r="B23" i="21"/>
  <c r="T22" i="21"/>
  <c r="S22" i="21"/>
  <c r="Q22" i="21"/>
  <c r="L22" i="21"/>
  <c r="T21" i="21"/>
  <c r="S21" i="21"/>
  <c r="L21" i="21"/>
  <c r="T20" i="21"/>
  <c r="S20" i="21"/>
  <c r="P20" i="21"/>
  <c r="J20" i="21"/>
  <c r="I20" i="21"/>
  <c r="P36" i="21" s="1"/>
  <c r="H20" i="21"/>
  <c r="R20" i="21" s="1"/>
  <c r="G20" i="21"/>
  <c r="F20" i="21"/>
  <c r="E20" i="21"/>
  <c r="O20" i="21" s="1"/>
  <c r="D20" i="21"/>
  <c r="C20" i="21"/>
  <c r="B20" i="21"/>
  <c r="L20" i="21" s="1"/>
  <c r="R19" i="21"/>
  <c r="Q19" i="21"/>
  <c r="P19" i="21"/>
  <c r="S18" i="21"/>
  <c r="R18" i="21"/>
  <c r="Q18" i="21"/>
  <c r="P18" i="21"/>
  <c r="O18" i="21"/>
  <c r="T17" i="21"/>
  <c r="S17" i="21"/>
  <c r="R17" i="21"/>
  <c r="Q17" i="21"/>
  <c r="P17" i="21"/>
  <c r="O17" i="21"/>
  <c r="L17" i="21"/>
  <c r="S15" i="21"/>
  <c r="Q15" i="21"/>
  <c r="P15" i="21"/>
  <c r="M15" i="21"/>
  <c r="L15" i="21"/>
  <c r="J15" i="21"/>
  <c r="I15" i="21"/>
  <c r="H15" i="21"/>
  <c r="O33" i="21" s="1"/>
  <c r="G15" i="21"/>
  <c r="N33" i="21" s="1"/>
  <c r="F15" i="21"/>
  <c r="E15" i="21"/>
  <c r="O15" i="21" s="1"/>
  <c r="D15" i="21"/>
  <c r="C15" i="21"/>
  <c r="L33" i="21" s="1"/>
  <c r="B15" i="21"/>
  <c r="T14" i="21"/>
  <c r="S14" i="21"/>
  <c r="O14" i="21"/>
  <c r="L14" i="21"/>
  <c r="T13" i="21"/>
  <c r="S13" i="21"/>
  <c r="L13" i="21"/>
  <c r="T11" i="21"/>
  <c r="Q11" i="21"/>
  <c r="L11" i="21"/>
  <c r="J11" i="21"/>
  <c r="T19" i="21" s="1"/>
  <c r="I11" i="21"/>
  <c r="S11" i="21" s="1"/>
  <c r="H11" i="21"/>
  <c r="G11" i="21"/>
  <c r="F11" i="21"/>
  <c r="E11" i="21"/>
  <c r="D11" i="21"/>
  <c r="C11" i="21"/>
  <c r="B11" i="21"/>
  <c r="L19" i="21" s="1"/>
  <c r="T10" i="21"/>
  <c r="S10" i="21"/>
  <c r="Q10" i="21"/>
  <c r="P10" i="21"/>
  <c r="O10" i="21"/>
  <c r="N10" i="21"/>
  <c r="L10" i="21"/>
  <c r="T9" i="21"/>
  <c r="S9" i="21"/>
  <c r="Q9" i="21"/>
  <c r="P9" i="21"/>
  <c r="O9" i="21"/>
  <c r="M9" i="21"/>
  <c r="L9" i="21"/>
  <c r="T8" i="21"/>
  <c r="S8" i="21"/>
  <c r="Q8" i="21"/>
  <c r="P8" i="21"/>
  <c r="O8" i="21"/>
  <c r="M8" i="21"/>
  <c r="L8" i="21"/>
  <c r="T7" i="21"/>
  <c r="S7" i="21"/>
  <c r="Q7" i="21"/>
  <c r="P7" i="21"/>
  <c r="O7" i="21"/>
  <c r="M7" i="21"/>
  <c r="L7" i="21"/>
  <c r="T6" i="21"/>
  <c r="S6" i="21"/>
  <c r="R6" i="21"/>
  <c r="Q6" i="21"/>
  <c r="P6" i="21"/>
  <c r="O6" i="21"/>
  <c r="N6" i="21"/>
  <c r="L6" i="21"/>
  <c r="T5" i="21"/>
  <c r="S5" i="21"/>
  <c r="R5" i="21"/>
  <c r="Q5" i="21"/>
  <c r="P5" i="21"/>
  <c r="O5" i="21"/>
  <c r="L5" i="21"/>
  <c r="T4" i="21"/>
  <c r="S4" i="21"/>
  <c r="R4" i="21"/>
  <c r="Q4" i="21"/>
  <c r="P4" i="21"/>
  <c r="L4" i="21"/>
  <c r="N41" i="20"/>
  <c r="P40" i="20"/>
  <c r="O40" i="20"/>
  <c r="N40" i="20"/>
  <c r="M40" i="20"/>
  <c r="L40" i="20"/>
  <c r="P39" i="20"/>
  <c r="O39" i="20"/>
  <c r="N39" i="20"/>
  <c r="M39" i="20"/>
  <c r="L39" i="20"/>
  <c r="P37" i="20"/>
  <c r="O37" i="20"/>
  <c r="N37" i="20"/>
  <c r="M37" i="20"/>
  <c r="L37" i="20"/>
  <c r="P36" i="20"/>
  <c r="O36" i="20"/>
  <c r="N36" i="20"/>
  <c r="M36" i="20"/>
  <c r="L36" i="20"/>
  <c r="P34" i="20"/>
  <c r="O34" i="20"/>
  <c r="N34" i="20"/>
  <c r="M34" i="20"/>
  <c r="L34" i="20"/>
  <c r="P32" i="20"/>
  <c r="O32" i="20"/>
  <c r="N32" i="20"/>
  <c r="M32" i="20"/>
  <c r="L32" i="20"/>
  <c r="P31" i="20"/>
  <c r="O31" i="20"/>
  <c r="N31" i="20"/>
  <c r="M31" i="20"/>
  <c r="L31" i="20"/>
  <c r="P30" i="20"/>
  <c r="O30" i="20"/>
  <c r="N30" i="20"/>
  <c r="M30" i="20"/>
  <c r="L30" i="20"/>
  <c r="P29" i="20"/>
  <c r="O29" i="20"/>
  <c r="N29" i="20"/>
  <c r="M29" i="20"/>
  <c r="L29" i="20"/>
  <c r="N28" i="20"/>
  <c r="P27" i="20"/>
  <c r="O27" i="20"/>
  <c r="N27" i="20"/>
  <c r="M27" i="20"/>
  <c r="L27" i="20"/>
  <c r="P26" i="20"/>
  <c r="O26" i="20"/>
  <c r="N26" i="20"/>
  <c r="M26" i="20"/>
  <c r="L26" i="20"/>
  <c r="T19" i="20"/>
  <c r="S19" i="20"/>
  <c r="Q19" i="20"/>
  <c r="P19" i="20"/>
  <c r="J19" i="20"/>
  <c r="I19" i="20"/>
  <c r="P41" i="20" s="1"/>
  <c r="H19" i="20"/>
  <c r="G19" i="20"/>
  <c r="F19" i="20"/>
  <c r="E19" i="20"/>
  <c r="O19" i="20" s="1"/>
  <c r="D19" i="20"/>
  <c r="N19" i="20" s="1"/>
  <c r="C19" i="20"/>
  <c r="M19" i="20" s="1"/>
  <c r="B19" i="20"/>
  <c r="L41" i="20" s="1"/>
  <c r="T18" i="20"/>
  <c r="S18" i="20"/>
  <c r="R18" i="20"/>
  <c r="Q18" i="20"/>
  <c r="P18" i="20"/>
  <c r="O18" i="20"/>
  <c r="N18" i="20"/>
  <c r="M18" i="20"/>
  <c r="L18" i="20"/>
  <c r="T17" i="20"/>
  <c r="S17" i="20"/>
  <c r="R17" i="20"/>
  <c r="Q17" i="20"/>
  <c r="P17" i="20"/>
  <c r="O17" i="20"/>
  <c r="N17" i="20"/>
  <c r="M17" i="20"/>
  <c r="L17" i="20"/>
  <c r="H16" i="20"/>
  <c r="T15" i="20"/>
  <c r="S15" i="20"/>
  <c r="R15" i="20"/>
  <c r="Q15" i="20"/>
  <c r="P15" i="20"/>
  <c r="O15" i="20"/>
  <c r="N15" i="20"/>
  <c r="M15" i="20"/>
  <c r="L15" i="20"/>
  <c r="T14" i="20"/>
  <c r="S14" i="20"/>
  <c r="R14" i="20"/>
  <c r="Q14" i="20"/>
  <c r="P14" i="20"/>
  <c r="O14" i="20"/>
  <c r="N14" i="20"/>
  <c r="M14" i="20"/>
  <c r="L14" i="20"/>
  <c r="H13" i="20"/>
  <c r="T12" i="20"/>
  <c r="S12" i="20"/>
  <c r="R12" i="20"/>
  <c r="Q12" i="20"/>
  <c r="P12" i="20"/>
  <c r="O12" i="20"/>
  <c r="N12" i="20"/>
  <c r="M12" i="20"/>
  <c r="L12" i="20"/>
  <c r="Q11" i="20"/>
  <c r="P11" i="20"/>
  <c r="H11" i="20"/>
  <c r="G12" i="22" s="1"/>
  <c r="G11" i="20"/>
  <c r="G13" i="20" s="1"/>
  <c r="Q13" i="20" s="1"/>
  <c r="F11" i="20"/>
  <c r="E11" i="20"/>
  <c r="T10" i="20"/>
  <c r="S10" i="20"/>
  <c r="R10" i="20"/>
  <c r="Q10" i="20"/>
  <c r="P10" i="20"/>
  <c r="O10" i="20"/>
  <c r="N10" i="20"/>
  <c r="M10" i="20"/>
  <c r="L10" i="20"/>
  <c r="T9" i="20"/>
  <c r="S9" i="20"/>
  <c r="R9" i="20"/>
  <c r="Q9" i="20"/>
  <c r="P9" i="20"/>
  <c r="O9" i="20"/>
  <c r="N9" i="20"/>
  <c r="M9" i="20"/>
  <c r="L9" i="20"/>
  <c r="T8" i="20"/>
  <c r="S8" i="20"/>
  <c r="R8" i="20"/>
  <c r="Q8" i="20"/>
  <c r="P8" i="20"/>
  <c r="O8" i="20"/>
  <c r="N8" i="20"/>
  <c r="M8" i="20"/>
  <c r="L8" i="20"/>
  <c r="T7" i="20"/>
  <c r="S7" i="20"/>
  <c r="R7" i="20"/>
  <c r="Q7" i="20"/>
  <c r="P7" i="20"/>
  <c r="O7" i="20"/>
  <c r="N7" i="20"/>
  <c r="M7" i="20"/>
  <c r="L7" i="20"/>
  <c r="R6" i="20"/>
  <c r="Q6" i="20"/>
  <c r="M6" i="20"/>
  <c r="J6" i="20"/>
  <c r="T6" i="20" s="1"/>
  <c r="I6" i="20"/>
  <c r="H6" i="20"/>
  <c r="G15" i="22" s="1"/>
  <c r="G6" i="20"/>
  <c r="F6" i="20"/>
  <c r="E6" i="20"/>
  <c r="O6" i="20" s="1"/>
  <c r="D6" i="20"/>
  <c r="C6" i="20"/>
  <c r="C11" i="20" s="1"/>
  <c r="B6" i="20"/>
  <c r="T5" i="20"/>
  <c r="S5" i="20"/>
  <c r="R5" i="20"/>
  <c r="Q5" i="20"/>
  <c r="P5" i="20"/>
  <c r="O5" i="20"/>
  <c r="N5" i="20"/>
  <c r="M5" i="20"/>
  <c r="L5" i="20"/>
  <c r="T4" i="20"/>
  <c r="S4" i="20"/>
  <c r="R4" i="20"/>
  <c r="Q4" i="20"/>
  <c r="P4" i="20"/>
  <c r="O4" i="20"/>
  <c r="N4" i="20"/>
  <c r="M4" i="20"/>
  <c r="L4" i="20"/>
  <c r="P59" i="19"/>
  <c r="N59" i="19"/>
  <c r="P58" i="19"/>
  <c r="O58" i="19"/>
  <c r="N58" i="19"/>
  <c r="M58" i="19"/>
  <c r="L58" i="19"/>
  <c r="P57" i="19"/>
  <c r="O57" i="19"/>
  <c r="N57" i="19"/>
  <c r="M57" i="19"/>
  <c r="L57" i="19"/>
  <c r="P55" i="19"/>
  <c r="L55" i="19"/>
  <c r="P54" i="19"/>
  <c r="O54" i="19"/>
  <c r="N54" i="19"/>
  <c r="M54" i="19"/>
  <c r="L54" i="19"/>
  <c r="N53" i="19"/>
  <c r="P52" i="19"/>
  <c r="O52" i="19"/>
  <c r="N52" i="19"/>
  <c r="M52" i="19"/>
  <c r="L52" i="19"/>
  <c r="P51" i="19"/>
  <c r="O51" i="19"/>
  <c r="N51" i="19"/>
  <c r="M51" i="19"/>
  <c r="L51" i="19"/>
  <c r="M49" i="19"/>
  <c r="P48" i="19"/>
  <c r="O48" i="19"/>
  <c r="N48" i="19"/>
  <c r="M48" i="19"/>
  <c r="L48" i="19"/>
  <c r="P47" i="19"/>
  <c r="O47" i="19"/>
  <c r="N47" i="19"/>
  <c r="M47" i="19"/>
  <c r="L47" i="19"/>
  <c r="P46" i="19"/>
  <c r="O46" i="19"/>
  <c r="N46" i="19"/>
  <c r="M46" i="19"/>
  <c r="L46" i="19"/>
  <c r="L45" i="19"/>
  <c r="P44" i="19"/>
  <c r="O44" i="19"/>
  <c r="N44" i="19"/>
  <c r="M44" i="19"/>
  <c r="L44" i="19"/>
  <c r="P43" i="19"/>
  <c r="O43" i="19"/>
  <c r="N43" i="19"/>
  <c r="M43" i="19"/>
  <c r="L43" i="19"/>
  <c r="P42" i="19"/>
  <c r="O42" i="19"/>
  <c r="N42" i="19"/>
  <c r="M42" i="19"/>
  <c r="L42" i="19"/>
  <c r="P41" i="19"/>
  <c r="O41" i="19"/>
  <c r="N41" i="19"/>
  <c r="M41" i="19"/>
  <c r="L41" i="19"/>
  <c r="J33" i="19"/>
  <c r="I35" i="22" s="1"/>
  <c r="I33" i="19"/>
  <c r="H35" i="22" s="1"/>
  <c r="H33" i="19"/>
  <c r="G33" i="19"/>
  <c r="F33" i="19"/>
  <c r="F10" i="22" s="1"/>
  <c r="E33" i="19"/>
  <c r="D33" i="19"/>
  <c r="C33" i="19"/>
  <c r="B33" i="19"/>
  <c r="D35" i="22" s="1"/>
  <c r="S31" i="19"/>
  <c r="P31" i="19"/>
  <c r="S29" i="19"/>
  <c r="J27" i="19"/>
  <c r="F27" i="19"/>
  <c r="B27" i="19"/>
  <c r="P26" i="19"/>
  <c r="J26" i="19"/>
  <c r="I26" i="19"/>
  <c r="H26" i="19"/>
  <c r="G26" i="19"/>
  <c r="F26" i="19"/>
  <c r="E26" i="19"/>
  <c r="O26" i="19" s="1"/>
  <c r="D26" i="19"/>
  <c r="C26" i="19"/>
  <c r="B26" i="19"/>
  <c r="S25" i="19"/>
  <c r="P25" i="19"/>
  <c r="S24" i="19"/>
  <c r="J22" i="19"/>
  <c r="I6" i="22" s="1"/>
  <c r="I22" i="19"/>
  <c r="H22" i="19"/>
  <c r="R22" i="19" s="1"/>
  <c r="G22" i="19"/>
  <c r="F22" i="19"/>
  <c r="E22" i="19"/>
  <c r="D22" i="19"/>
  <c r="C22" i="19"/>
  <c r="C27" i="19" s="1"/>
  <c r="B22" i="19"/>
  <c r="D5" i="22" s="1"/>
  <c r="S21" i="19"/>
  <c r="P20" i="19"/>
  <c r="P19" i="19"/>
  <c r="I16" i="19"/>
  <c r="H16" i="19"/>
  <c r="F16" i="19"/>
  <c r="E16" i="19"/>
  <c r="S14" i="19"/>
  <c r="P14" i="19"/>
  <c r="J14" i="19"/>
  <c r="I14" i="19"/>
  <c r="H14" i="19"/>
  <c r="G14" i="19"/>
  <c r="F14" i="19"/>
  <c r="E14" i="19"/>
  <c r="D14" i="19"/>
  <c r="C14" i="19"/>
  <c r="B14" i="19"/>
  <c r="S13" i="19"/>
  <c r="S12" i="19"/>
  <c r="P11" i="19"/>
  <c r="P9" i="19"/>
  <c r="J9" i="19"/>
  <c r="I9" i="19"/>
  <c r="H9" i="19"/>
  <c r="G9" i="19"/>
  <c r="F9" i="19"/>
  <c r="E9" i="19"/>
  <c r="D9" i="19"/>
  <c r="C9" i="19"/>
  <c r="B9" i="19"/>
  <c r="S8" i="19"/>
  <c r="P8" i="19"/>
  <c r="S7" i="19"/>
  <c r="P7" i="19"/>
  <c r="S5" i="19"/>
  <c r="H85" i="17"/>
  <c r="G85" i="17"/>
  <c r="F85" i="17"/>
  <c r="E85" i="17"/>
  <c r="D85" i="17"/>
  <c r="C85" i="17"/>
  <c r="B85" i="17"/>
  <c r="H82" i="17"/>
  <c r="G82" i="17"/>
  <c r="F82" i="17"/>
  <c r="E82" i="17"/>
  <c r="D82" i="17"/>
  <c r="C82" i="17"/>
  <c r="B82" i="17"/>
  <c r="H80" i="17"/>
  <c r="G80" i="17"/>
  <c r="F80" i="17"/>
  <c r="E80" i="17"/>
  <c r="D80" i="17"/>
  <c r="C80" i="17"/>
  <c r="B80" i="17"/>
  <c r="H79" i="17"/>
  <c r="G79" i="17"/>
  <c r="F79" i="17"/>
  <c r="E79" i="17"/>
  <c r="D79" i="17"/>
  <c r="C79" i="17"/>
  <c r="B79" i="17"/>
  <c r="H70" i="17"/>
  <c r="G70" i="17"/>
  <c r="F70" i="17"/>
  <c r="E70" i="17"/>
  <c r="D70" i="17"/>
  <c r="C70" i="17"/>
  <c r="B70" i="17"/>
  <c r="H68" i="17"/>
  <c r="G68" i="17"/>
  <c r="F68" i="17"/>
  <c r="E68" i="17"/>
  <c r="D68" i="17"/>
  <c r="C68" i="17"/>
  <c r="B68" i="17"/>
  <c r="H67" i="17"/>
  <c r="G67" i="17"/>
  <c r="F67" i="17"/>
  <c r="E67" i="17"/>
  <c r="D67" i="17"/>
  <c r="C67" i="17"/>
  <c r="B67" i="17"/>
  <c r="H63" i="17"/>
  <c r="G63" i="17"/>
  <c r="F63" i="17"/>
  <c r="E63" i="17"/>
  <c r="D63" i="17"/>
  <c r="C63" i="17"/>
  <c r="B63" i="17"/>
  <c r="H62" i="17"/>
  <c r="G62" i="17"/>
  <c r="F62" i="17"/>
  <c r="E62" i="17"/>
  <c r="D62" i="17"/>
  <c r="C62" i="17"/>
  <c r="B62" i="17"/>
  <c r="H61" i="17"/>
  <c r="G61" i="17"/>
  <c r="F61" i="17"/>
  <c r="E61" i="17"/>
  <c r="D61" i="17"/>
  <c r="C61" i="17"/>
  <c r="B61" i="17"/>
  <c r="H59" i="17"/>
  <c r="G59" i="17"/>
  <c r="F59" i="17"/>
  <c r="E59" i="17"/>
  <c r="D59" i="17"/>
  <c r="C59" i="17"/>
  <c r="B59" i="17"/>
  <c r="H58" i="17"/>
  <c r="G58" i="17"/>
  <c r="F58" i="17"/>
  <c r="E58" i="17"/>
  <c r="D58" i="17"/>
  <c r="C58" i="17"/>
  <c r="B58" i="17"/>
  <c r="H57" i="17"/>
  <c r="G57" i="17"/>
  <c r="F57" i="17"/>
  <c r="E57" i="17"/>
  <c r="D57" i="17"/>
  <c r="C57" i="17"/>
  <c r="B57" i="17"/>
  <c r="H56" i="17"/>
  <c r="G56" i="17"/>
  <c r="F56" i="17"/>
  <c r="E56" i="17"/>
  <c r="D56" i="17"/>
  <c r="C56" i="17"/>
  <c r="B56" i="17"/>
  <c r="I50" i="17"/>
  <c r="I49" i="17"/>
  <c r="I48" i="17"/>
  <c r="H48" i="17"/>
  <c r="G48" i="17"/>
  <c r="F48" i="17"/>
  <c r="E48" i="17"/>
  <c r="D48" i="17"/>
  <c r="C48" i="17"/>
  <c r="B48" i="17"/>
  <c r="I47" i="17"/>
  <c r="H47" i="17"/>
  <c r="G47" i="17"/>
  <c r="F47" i="17"/>
  <c r="E47" i="17"/>
  <c r="D47" i="17"/>
  <c r="C47" i="17"/>
  <c r="B47" i="17"/>
  <c r="I46" i="17"/>
  <c r="I45" i="17"/>
  <c r="I44" i="17"/>
  <c r="H44" i="17"/>
  <c r="G44" i="17"/>
  <c r="F44" i="17"/>
  <c r="E44" i="17"/>
  <c r="D44" i="17"/>
  <c r="C44" i="17"/>
  <c r="B44" i="17"/>
  <c r="I43" i="17"/>
  <c r="I42" i="17"/>
  <c r="H42" i="17"/>
  <c r="G42" i="17"/>
  <c r="F42" i="17"/>
  <c r="E42" i="17"/>
  <c r="D42" i="17"/>
  <c r="C42" i="17"/>
  <c r="B42" i="17"/>
  <c r="I41" i="17"/>
  <c r="H41" i="17"/>
  <c r="G41" i="17"/>
  <c r="F41" i="17"/>
  <c r="E41" i="17"/>
  <c r="D41" i="17"/>
  <c r="C41" i="17"/>
  <c r="B41" i="17"/>
  <c r="I38" i="17"/>
  <c r="I37" i="17"/>
  <c r="I36" i="17"/>
  <c r="I35" i="17"/>
  <c r="I32" i="17"/>
  <c r="I31" i="17"/>
  <c r="I30" i="17"/>
  <c r="I29" i="17"/>
  <c r="I28" i="17"/>
  <c r="I26" i="17"/>
  <c r="I25" i="17"/>
  <c r="I24" i="17"/>
  <c r="I23" i="17"/>
  <c r="I22" i="17"/>
  <c r="I19" i="17"/>
  <c r="I18" i="17"/>
  <c r="I17" i="17"/>
  <c r="I16" i="17"/>
  <c r="I15" i="17"/>
  <c r="I14" i="17"/>
  <c r="I13" i="17"/>
  <c r="I11" i="17"/>
  <c r="I10" i="17"/>
  <c r="I9" i="17"/>
  <c r="I8" i="17"/>
  <c r="I7" i="17"/>
  <c r="I6" i="17"/>
  <c r="I5" i="17"/>
  <c r="K49" i="16"/>
  <c r="E49" i="16"/>
  <c r="K48" i="16"/>
  <c r="K47" i="16"/>
  <c r="I47" i="16"/>
  <c r="E47" i="16"/>
  <c r="K46" i="16"/>
  <c r="K45" i="16"/>
  <c r="K44" i="16"/>
  <c r="K43" i="16"/>
  <c r="J43" i="16"/>
  <c r="I43" i="16"/>
  <c r="H43" i="16"/>
  <c r="G43" i="16"/>
  <c r="F43" i="16"/>
  <c r="F49" i="16" s="1"/>
  <c r="E43" i="16"/>
  <c r="D43" i="16"/>
  <c r="K39" i="16"/>
  <c r="J39" i="16"/>
  <c r="J47" i="16" s="1"/>
  <c r="I39" i="16"/>
  <c r="H39" i="16"/>
  <c r="H47" i="16" s="1"/>
  <c r="G39" i="16"/>
  <c r="G47" i="16" s="1"/>
  <c r="F39" i="16"/>
  <c r="F47" i="16" s="1"/>
  <c r="E39" i="16"/>
  <c r="D39" i="16"/>
  <c r="D47" i="16" s="1"/>
  <c r="K38" i="16"/>
  <c r="E38" i="16"/>
  <c r="K37" i="16"/>
  <c r="K36" i="16"/>
  <c r="K32" i="16"/>
  <c r="K31" i="16"/>
  <c r="J31" i="16"/>
  <c r="I31" i="16"/>
  <c r="H31" i="16"/>
  <c r="F31" i="16"/>
  <c r="E31" i="16"/>
  <c r="D31" i="16"/>
  <c r="K30" i="16"/>
  <c r="E30" i="16"/>
  <c r="K28" i="16"/>
  <c r="K27" i="16"/>
  <c r="K26" i="16"/>
  <c r="K25" i="16"/>
  <c r="K24" i="16"/>
  <c r="K23" i="16"/>
  <c r="K22" i="16"/>
  <c r="K20" i="16"/>
  <c r="J20" i="16"/>
  <c r="I20" i="16"/>
  <c r="H20" i="16"/>
  <c r="G20" i="16"/>
  <c r="F20" i="16"/>
  <c r="E20" i="16"/>
  <c r="D20" i="16"/>
  <c r="K19" i="16"/>
  <c r="J19" i="16"/>
  <c r="I19" i="16"/>
  <c r="H19" i="16"/>
  <c r="G19" i="16"/>
  <c r="F19" i="16"/>
  <c r="E19" i="16"/>
  <c r="D19" i="16"/>
  <c r="K18" i="16"/>
  <c r="J18" i="16"/>
  <c r="I18" i="16"/>
  <c r="H18" i="16"/>
  <c r="G18" i="16"/>
  <c r="F18" i="16"/>
  <c r="E18" i="16"/>
  <c r="D18" i="16"/>
  <c r="K17" i="16"/>
  <c r="J17" i="16"/>
  <c r="I17" i="16"/>
  <c r="H17" i="16"/>
  <c r="G17" i="16"/>
  <c r="F17" i="16"/>
  <c r="E17" i="16"/>
  <c r="D17" i="16"/>
  <c r="K16" i="16"/>
  <c r="K14" i="16"/>
  <c r="K13" i="16"/>
  <c r="K12" i="16"/>
  <c r="K11" i="16"/>
  <c r="K10" i="16"/>
  <c r="K9" i="16"/>
  <c r="K7" i="16"/>
  <c r="I7" i="16"/>
  <c r="E7" i="16"/>
  <c r="D7" i="16"/>
  <c r="K6" i="16"/>
  <c r="K5" i="16"/>
  <c r="S69" i="15"/>
  <c r="R69" i="15"/>
  <c r="Q69" i="15"/>
  <c r="P69" i="15"/>
  <c r="O69" i="15"/>
  <c r="N69" i="15"/>
  <c r="M69" i="15"/>
  <c r="S68" i="15"/>
  <c r="R68" i="15"/>
  <c r="Q68" i="15"/>
  <c r="O68" i="15"/>
  <c r="N68" i="15"/>
  <c r="M68" i="15"/>
  <c r="S66" i="15"/>
  <c r="S65" i="15"/>
  <c r="R65" i="15"/>
  <c r="Q65" i="15"/>
  <c r="O65" i="15"/>
  <c r="N65" i="15"/>
  <c r="M65" i="15"/>
  <c r="S64" i="15"/>
  <c r="R64" i="15"/>
  <c r="Q64" i="15"/>
  <c r="O64" i="15"/>
  <c r="N64" i="15"/>
  <c r="M64" i="15"/>
  <c r="S63" i="15"/>
  <c r="R63" i="15"/>
  <c r="Q63" i="15"/>
  <c r="O63" i="15"/>
  <c r="N63" i="15"/>
  <c r="M63" i="15"/>
  <c r="S62" i="15"/>
  <c r="R62" i="15"/>
  <c r="Q62" i="15"/>
  <c r="O62" i="15"/>
  <c r="N62" i="15"/>
  <c r="M62" i="15"/>
  <c r="S61" i="15"/>
  <c r="R61" i="15"/>
  <c r="Q61" i="15"/>
  <c r="P61" i="15"/>
  <c r="O61" i="15"/>
  <c r="N61" i="15"/>
  <c r="M61" i="15"/>
  <c r="R60" i="15"/>
  <c r="M60" i="15"/>
  <c r="S59" i="15"/>
  <c r="R59" i="15"/>
  <c r="Q59" i="15"/>
  <c r="O59" i="15"/>
  <c r="N59" i="15"/>
  <c r="M59" i="15"/>
  <c r="S58" i="15"/>
  <c r="R58" i="15"/>
  <c r="Q58" i="15"/>
  <c r="O58" i="15"/>
  <c r="N58" i="15"/>
  <c r="M58" i="15"/>
  <c r="S56" i="15"/>
  <c r="R56" i="15"/>
  <c r="Q56" i="15"/>
  <c r="O56" i="15"/>
  <c r="N56" i="15"/>
  <c r="M56" i="15"/>
  <c r="S55" i="15"/>
  <c r="R55" i="15"/>
  <c r="Q55" i="15"/>
  <c r="P55" i="15"/>
  <c r="O55" i="15"/>
  <c r="N55" i="15"/>
  <c r="M55" i="15"/>
  <c r="S54" i="15"/>
  <c r="R54" i="15"/>
  <c r="Q54" i="15"/>
  <c r="P54" i="15"/>
  <c r="O54" i="15"/>
  <c r="N54" i="15"/>
  <c r="M54" i="15"/>
  <c r="S53" i="15"/>
  <c r="R53" i="15"/>
  <c r="Q53" i="15"/>
  <c r="O53" i="15"/>
  <c r="N53" i="15"/>
  <c r="M53" i="15"/>
  <c r="R52" i="15"/>
  <c r="N52" i="15"/>
  <c r="S51" i="15"/>
  <c r="R51" i="15"/>
  <c r="Q51" i="15"/>
  <c r="O51" i="15"/>
  <c r="N51" i="15"/>
  <c r="M51" i="15"/>
  <c r="S50" i="15"/>
  <c r="R50" i="15"/>
  <c r="Q50" i="15"/>
  <c r="O50" i="15"/>
  <c r="N50" i="15"/>
  <c r="M50" i="15"/>
  <c r="S49" i="15"/>
  <c r="R49" i="15"/>
  <c r="Q49" i="15"/>
  <c r="P49" i="15"/>
  <c r="O49" i="15"/>
  <c r="N49" i="15"/>
  <c r="M49" i="15"/>
  <c r="S48" i="15"/>
  <c r="R48" i="15"/>
  <c r="Q48" i="15"/>
  <c r="O48" i="15"/>
  <c r="N48" i="15"/>
  <c r="M48" i="15"/>
  <c r="S47" i="15"/>
  <c r="R47" i="15"/>
  <c r="Q47" i="15"/>
  <c r="P47" i="15"/>
  <c r="O47" i="15"/>
  <c r="N47" i="15"/>
  <c r="M47" i="15"/>
  <c r="S46" i="15"/>
  <c r="R46" i="15"/>
  <c r="Q46" i="15"/>
  <c r="P46" i="15"/>
  <c r="O46" i="15"/>
  <c r="N46" i="15"/>
  <c r="M46" i="15"/>
  <c r="S45" i="15"/>
  <c r="R45" i="15"/>
  <c r="Q45" i="15"/>
  <c r="O45" i="15"/>
  <c r="N45" i="15"/>
  <c r="M45" i="15"/>
  <c r="S44" i="15"/>
  <c r="R44" i="15"/>
  <c r="Q44" i="15"/>
  <c r="O44" i="15"/>
  <c r="N44" i="15"/>
  <c r="M44" i="15"/>
  <c r="S43" i="15"/>
  <c r="R43" i="15"/>
  <c r="Q43" i="15"/>
  <c r="O43" i="15"/>
  <c r="N43" i="15"/>
  <c r="M43" i="15"/>
  <c r="S42" i="15"/>
  <c r="R42" i="15"/>
  <c r="Q42" i="15"/>
  <c r="O42" i="15"/>
  <c r="N42" i="15"/>
  <c r="M42" i="15"/>
  <c r="W37" i="15"/>
  <c r="W36" i="15"/>
  <c r="Q36" i="15"/>
  <c r="P36" i="15"/>
  <c r="W35" i="15"/>
  <c r="S35" i="15"/>
  <c r="O35" i="15"/>
  <c r="N35" i="15"/>
  <c r="H35" i="15"/>
  <c r="P68" i="15" s="1"/>
  <c r="W34" i="15"/>
  <c r="H33" i="15"/>
  <c r="W32" i="15"/>
  <c r="N32" i="15"/>
  <c r="D32" i="15"/>
  <c r="O32" i="15" s="1"/>
  <c r="W31" i="15"/>
  <c r="V31" i="15"/>
  <c r="T31" i="15"/>
  <c r="H31" i="15"/>
  <c r="S31" i="15" s="1"/>
  <c r="W30" i="15"/>
  <c r="R30" i="15"/>
  <c r="Q30" i="15"/>
  <c r="P30" i="15"/>
  <c r="O30" i="15"/>
  <c r="N30" i="15"/>
  <c r="H30" i="15"/>
  <c r="P64" i="15" s="1"/>
  <c r="W29" i="15"/>
  <c r="U29" i="15"/>
  <c r="N29" i="15"/>
  <c r="H29" i="15"/>
  <c r="W28" i="15"/>
  <c r="V28" i="15"/>
  <c r="Q28" i="15"/>
  <c r="P28" i="15"/>
  <c r="O28" i="15"/>
  <c r="N28" i="15"/>
  <c r="H28" i="15"/>
  <c r="P62" i="15" s="1"/>
  <c r="W27" i="15"/>
  <c r="V27" i="15"/>
  <c r="R27" i="15"/>
  <c r="N27" i="15"/>
  <c r="M27" i="15"/>
  <c r="H27" i="15"/>
  <c r="S27" i="15" s="1"/>
  <c r="W26" i="15"/>
  <c r="P26" i="15"/>
  <c r="O26" i="15"/>
  <c r="N26" i="15"/>
  <c r="K26" i="15"/>
  <c r="K32" i="15" s="1"/>
  <c r="H92" i="17" s="1"/>
  <c r="J26" i="15"/>
  <c r="U26" i="15" s="1"/>
  <c r="I26" i="15"/>
  <c r="Q60" i="15" s="1"/>
  <c r="G26" i="15"/>
  <c r="G32" i="15" s="1"/>
  <c r="F26" i="15"/>
  <c r="F32" i="15" s="1"/>
  <c r="E26" i="15"/>
  <c r="E32" i="15" s="1"/>
  <c r="D26" i="15"/>
  <c r="C26" i="15"/>
  <c r="C32" i="15" s="1"/>
  <c r="B26" i="15"/>
  <c r="M26" i="15" s="1"/>
  <c r="W25" i="15"/>
  <c r="T25" i="15"/>
  <c r="Q25" i="15"/>
  <c r="O25" i="15"/>
  <c r="N25" i="15"/>
  <c r="H25" i="15"/>
  <c r="P59" i="15" s="1"/>
  <c r="W24" i="15"/>
  <c r="R24" i="15"/>
  <c r="Q24" i="15"/>
  <c r="P24" i="15"/>
  <c r="O24" i="15"/>
  <c r="H24" i="15"/>
  <c r="P58" i="15" s="1"/>
  <c r="W21" i="15"/>
  <c r="N21" i="15"/>
  <c r="K21" i="15"/>
  <c r="J21" i="15"/>
  <c r="G91" i="17" s="1"/>
  <c r="I21" i="15"/>
  <c r="G21" i="15"/>
  <c r="R21" i="15" s="1"/>
  <c r="F21" i="15"/>
  <c r="E21" i="15"/>
  <c r="P21" i="15" s="1"/>
  <c r="D21" i="15"/>
  <c r="C21" i="15"/>
  <c r="B21" i="15"/>
  <c r="W20" i="15"/>
  <c r="T20" i="15"/>
  <c r="R20" i="15"/>
  <c r="Q20" i="15"/>
  <c r="P20" i="15"/>
  <c r="H20" i="15"/>
  <c r="P56" i="15" s="1"/>
  <c r="W19" i="15"/>
  <c r="Q19" i="15"/>
  <c r="P19" i="15"/>
  <c r="O19" i="15"/>
  <c r="H19" i="15"/>
  <c r="W18" i="15"/>
  <c r="S18" i="15"/>
  <c r="Q18" i="15"/>
  <c r="P18" i="15"/>
  <c r="H18" i="15"/>
  <c r="W17" i="15"/>
  <c r="V17" i="15"/>
  <c r="T17" i="15"/>
  <c r="Q17" i="15"/>
  <c r="P17" i="15"/>
  <c r="O17" i="15"/>
  <c r="H17" i="15"/>
  <c r="W14" i="15"/>
  <c r="T14" i="15"/>
  <c r="R14" i="15"/>
  <c r="Q14" i="15"/>
  <c r="P14" i="15"/>
  <c r="K14" i="15"/>
  <c r="S52" i="15" s="1"/>
  <c r="J14" i="15"/>
  <c r="U17" i="15" s="1"/>
  <c r="I14" i="15"/>
  <c r="T4" i="15" s="1"/>
  <c r="H14" i="15"/>
  <c r="G14" i="15"/>
  <c r="F14" i="15"/>
  <c r="Q35" i="15" s="1"/>
  <c r="E14" i="15"/>
  <c r="D14" i="15"/>
  <c r="C90" i="17" s="1"/>
  <c r="C14" i="15"/>
  <c r="B14" i="15"/>
  <c r="M29" i="15" s="1"/>
  <c r="W13" i="15"/>
  <c r="V13" i="15"/>
  <c r="Q13" i="15"/>
  <c r="P13" i="15"/>
  <c r="O13" i="15"/>
  <c r="N13" i="15"/>
  <c r="M13" i="15"/>
  <c r="H13" i="15"/>
  <c r="P51" i="15" s="1"/>
  <c r="W12" i="15"/>
  <c r="T12" i="15"/>
  <c r="Q12" i="15"/>
  <c r="M12" i="15"/>
  <c r="H12" i="15"/>
  <c r="S12" i="15" s="1"/>
  <c r="W11" i="15"/>
  <c r="V11" i="15"/>
  <c r="U11" i="15"/>
  <c r="Q11" i="15"/>
  <c r="P11" i="15"/>
  <c r="O11" i="15"/>
  <c r="N11" i="15"/>
  <c r="H11" i="15"/>
  <c r="W10" i="15"/>
  <c r="U10" i="15"/>
  <c r="Q10" i="15"/>
  <c r="O10" i="15"/>
  <c r="M10" i="15"/>
  <c r="H10" i="15"/>
  <c r="P48" i="15" s="1"/>
  <c r="W9" i="15"/>
  <c r="Q9" i="15"/>
  <c r="P9" i="15"/>
  <c r="O9" i="15"/>
  <c r="N9" i="15"/>
  <c r="H9" i="15"/>
  <c r="W8" i="15"/>
  <c r="S8" i="15"/>
  <c r="R8" i="15"/>
  <c r="Q8" i="15"/>
  <c r="O8" i="15"/>
  <c r="M8" i="15"/>
  <c r="H8" i="15"/>
  <c r="W7" i="15"/>
  <c r="V7" i="15"/>
  <c r="U7" i="15"/>
  <c r="Q7" i="15"/>
  <c r="P7" i="15"/>
  <c r="O7" i="15"/>
  <c r="N7" i="15"/>
  <c r="H7" i="15"/>
  <c r="P45" i="15" s="1"/>
  <c r="W6" i="15"/>
  <c r="U6" i="15"/>
  <c r="T6" i="15"/>
  <c r="S6" i="15"/>
  <c r="R6" i="15"/>
  <c r="Q6" i="15"/>
  <c r="O6" i="15"/>
  <c r="H6" i="15"/>
  <c r="P44" i="15" s="1"/>
  <c r="W5" i="15"/>
  <c r="V5" i="15"/>
  <c r="U5" i="15"/>
  <c r="Q5" i="15"/>
  <c r="P5" i="15"/>
  <c r="O5" i="15"/>
  <c r="H5" i="15"/>
  <c r="P43" i="15" s="1"/>
  <c r="W4" i="15"/>
  <c r="U4" i="15"/>
  <c r="S4" i="15"/>
  <c r="Q4" i="15"/>
  <c r="O4" i="15"/>
  <c r="M4" i="15"/>
  <c r="H4" i="15"/>
  <c r="P42" i="15" s="1"/>
  <c r="S50" i="14"/>
  <c r="R50" i="14"/>
  <c r="Q50" i="14"/>
  <c r="P50" i="14"/>
  <c r="O50" i="14"/>
  <c r="N50" i="14"/>
  <c r="M50" i="14"/>
  <c r="S49" i="14"/>
  <c r="R49" i="14"/>
  <c r="Q49" i="14"/>
  <c r="P49" i="14"/>
  <c r="O49" i="14"/>
  <c r="N49" i="14"/>
  <c r="M49" i="14"/>
  <c r="S47" i="14"/>
  <c r="R47" i="14"/>
  <c r="Q47" i="14"/>
  <c r="P47" i="14"/>
  <c r="O47" i="14"/>
  <c r="N47" i="14"/>
  <c r="M47" i="14"/>
  <c r="S46" i="14"/>
  <c r="R46" i="14"/>
  <c r="Q46" i="14"/>
  <c r="P46" i="14"/>
  <c r="O46" i="14"/>
  <c r="N46" i="14"/>
  <c r="M46" i="14"/>
  <c r="S45" i="14"/>
  <c r="R45" i="14"/>
  <c r="Q45" i="14"/>
  <c r="P45" i="14"/>
  <c r="O45" i="14"/>
  <c r="N45" i="14"/>
  <c r="M45" i="14"/>
  <c r="S43" i="14"/>
  <c r="R43" i="14"/>
  <c r="Q43" i="14"/>
  <c r="P43" i="14"/>
  <c r="O43" i="14"/>
  <c r="N43" i="14"/>
  <c r="M43" i="14"/>
  <c r="O42" i="14"/>
  <c r="S41" i="14"/>
  <c r="R41" i="14"/>
  <c r="Q41" i="14"/>
  <c r="P41" i="14"/>
  <c r="O41" i="14"/>
  <c r="N41" i="14"/>
  <c r="M41" i="14"/>
  <c r="S40" i="14"/>
  <c r="R40" i="14"/>
  <c r="Q40" i="14"/>
  <c r="P40" i="14"/>
  <c r="O40" i="14"/>
  <c r="N40" i="14"/>
  <c r="M40" i="14"/>
  <c r="S39" i="14"/>
  <c r="R39" i="14"/>
  <c r="Q39" i="14"/>
  <c r="P39" i="14"/>
  <c r="O39" i="14"/>
  <c r="N39" i="14"/>
  <c r="M39" i="14"/>
  <c r="O38" i="14"/>
  <c r="N38" i="14"/>
  <c r="S37" i="14"/>
  <c r="R37" i="14"/>
  <c r="Q37" i="14"/>
  <c r="P37" i="14"/>
  <c r="O37" i="14"/>
  <c r="N37" i="14"/>
  <c r="M37" i="14"/>
  <c r="S36" i="14"/>
  <c r="R36" i="14"/>
  <c r="Q36" i="14"/>
  <c r="P36" i="14"/>
  <c r="O36" i="14"/>
  <c r="N36" i="14"/>
  <c r="M36" i="14"/>
  <c r="W21" i="14"/>
  <c r="G21" i="14"/>
  <c r="E21" i="14"/>
  <c r="W20" i="14"/>
  <c r="U20" i="14"/>
  <c r="S20" i="14"/>
  <c r="R20" i="14"/>
  <c r="Q20" i="14"/>
  <c r="K20" i="14"/>
  <c r="V20" i="14" s="1"/>
  <c r="J20" i="14"/>
  <c r="R51" i="14" s="1"/>
  <c r="I20" i="14"/>
  <c r="Q51" i="14" s="1"/>
  <c r="H20" i="14"/>
  <c r="G20" i="14"/>
  <c r="F20" i="14"/>
  <c r="O51" i="14" s="1"/>
  <c r="E20" i="14"/>
  <c r="P20" i="14" s="1"/>
  <c r="D20" i="14"/>
  <c r="C20" i="14"/>
  <c r="N20" i="14" s="1"/>
  <c r="B20" i="14"/>
  <c r="M51" i="14" s="1"/>
  <c r="W19" i="14"/>
  <c r="V19" i="14"/>
  <c r="U19" i="14"/>
  <c r="T19" i="14"/>
  <c r="S19" i="14"/>
  <c r="R19" i="14"/>
  <c r="Q19" i="14"/>
  <c r="P19" i="14"/>
  <c r="O19" i="14"/>
  <c r="N19" i="14"/>
  <c r="M19" i="14"/>
  <c r="W18" i="14"/>
  <c r="V18" i="14"/>
  <c r="U18" i="14"/>
  <c r="T18" i="14"/>
  <c r="S18" i="14"/>
  <c r="R18" i="14"/>
  <c r="Q18" i="14"/>
  <c r="P18" i="14"/>
  <c r="O18" i="14"/>
  <c r="N18" i="14"/>
  <c r="M18" i="14"/>
  <c r="W17" i="14"/>
  <c r="G17" i="14"/>
  <c r="R17" i="14" s="1"/>
  <c r="F17" i="14"/>
  <c r="E17" i="14"/>
  <c r="P17" i="14" s="1"/>
  <c r="W16" i="14"/>
  <c r="V16" i="14"/>
  <c r="U16" i="14"/>
  <c r="T16" i="14"/>
  <c r="S16" i="14"/>
  <c r="R16" i="14"/>
  <c r="Q16" i="14"/>
  <c r="P16" i="14"/>
  <c r="O16" i="14"/>
  <c r="N16" i="14"/>
  <c r="M16" i="14"/>
  <c r="W15" i="14"/>
  <c r="V15" i="14"/>
  <c r="U15" i="14"/>
  <c r="T15" i="14"/>
  <c r="S15" i="14"/>
  <c r="R15" i="14"/>
  <c r="Q15" i="14"/>
  <c r="P15" i="14"/>
  <c r="O15" i="14"/>
  <c r="N15" i="14"/>
  <c r="M15" i="14"/>
  <c r="W14" i="14"/>
  <c r="V14" i="14"/>
  <c r="U14" i="14"/>
  <c r="T14" i="14"/>
  <c r="S14" i="14"/>
  <c r="R14" i="14"/>
  <c r="Q14" i="14"/>
  <c r="P14" i="14"/>
  <c r="O14" i="14"/>
  <c r="N14" i="14"/>
  <c r="M14" i="14"/>
  <c r="W12" i="14"/>
  <c r="E12" i="14"/>
  <c r="P12" i="14" s="1"/>
  <c r="W11" i="14"/>
  <c r="V11" i="14"/>
  <c r="U11" i="14"/>
  <c r="T11" i="14"/>
  <c r="S11" i="14"/>
  <c r="R11" i="14"/>
  <c r="Q11" i="14"/>
  <c r="P11" i="14"/>
  <c r="O11" i="14"/>
  <c r="N11" i="14"/>
  <c r="M11" i="14"/>
  <c r="H11" i="14"/>
  <c r="W10" i="14"/>
  <c r="V10" i="14"/>
  <c r="K10" i="14"/>
  <c r="G10" i="14"/>
  <c r="R10" i="14" s="1"/>
  <c r="F10" i="14"/>
  <c r="E10" i="14"/>
  <c r="P10" i="14" s="1"/>
  <c r="W9" i="14"/>
  <c r="V9" i="14"/>
  <c r="U9" i="14"/>
  <c r="T9" i="14"/>
  <c r="S9" i="14"/>
  <c r="R9" i="14"/>
  <c r="Q9" i="14"/>
  <c r="P9" i="14"/>
  <c r="O9" i="14"/>
  <c r="N9" i="14"/>
  <c r="M9" i="14"/>
  <c r="W8" i="14"/>
  <c r="V8" i="14"/>
  <c r="U8" i="14"/>
  <c r="T8" i="14"/>
  <c r="S8" i="14"/>
  <c r="R8" i="14"/>
  <c r="Q8" i="14"/>
  <c r="P8" i="14"/>
  <c r="O8" i="14"/>
  <c r="N8" i="14"/>
  <c r="M8" i="14"/>
  <c r="W7" i="14"/>
  <c r="V7" i="14"/>
  <c r="U7" i="14"/>
  <c r="T7" i="14"/>
  <c r="S7" i="14"/>
  <c r="R7" i="14"/>
  <c r="Q7" i="14"/>
  <c r="P7" i="14"/>
  <c r="O7" i="14"/>
  <c r="N7" i="14"/>
  <c r="M7" i="14"/>
  <c r="W6" i="14"/>
  <c r="U6" i="14"/>
  <c r="S6" i="14"/>
  <c r="R6" i="14"/>
  <c r="Q6" i="14"/>
  <c r="K6" i="14"/>
  <c r="J6" i="14"/>
  <c r="I6" i="14"/>
  <c r="H6" i="14"/>
  <c r="G6" i="14"/>
  <c r="F6" i="14"/>
  <c r="E6" i="14"/>
  <c r="P6" i="14" s="1"/>
  <c r="D6" i="14"/>
  <c r="C6" i="14"/>
  <c r="B6" i="14"/>
  <c r="W5" i="14"/>
  <c r="V5" i="14"/>
  <c r="U5" i="14"/>
  <c r="T5" i="14"/>
  <c r="S5" i="14"/>
  <c r="R5" i="14"/>
  <c r="Q5" i="14"/>
  <c r="P5" i="14"/>
  <c r="O5" i="14"/>
  <c r="N5" i="14"/>
  <c r="M5" i="14"/>
  <c r="W4" i="14"/>
  <c r="V4" i="14"/>
  <c r="U4" i="14"/>
  <c r="T4" i="14"/>
  <c r="S4" i="14"/>
  <c r="R4" i="14"/>
  <c r="Q4" i="14"/>
  <c r="P4" i="14"/>
  <c r="O4" i="14"/>
  <c r="N4" i="14"/>
  <c r="M4" i="14"/>
  <c r="S109" i="13"/>
  <c r="R109" i="13"/>
  <c r="Q109" i="13"/>
  <c r="P109" i="13"/>
  <c r="O109" i="13"/>
  <c r="N109" i="13"/>
  <c r="M109" i="13"/>
  <c r="S108" i="13"/>
  <c r="R108" i="13"/>
  <c r="Q108" i="13"/>
  <c r="P108" i="13"/>
  <c r="O108" i="13"/>
  <c r="N108" i="13"/>
  <c r="M108" i="13"/>
  <c r="S107" i="13"/>
  <c r="R107" i="13"/>
  <c r="Q107" i="13"/>
  <c r="P107" i="13"/>
  <c r="O107" i="13"/>
  <c r="N107" i="13"/>
  <c r="M107" i="13"/>
  <c r="S106" i="13"/>
  <c r="R106" i="13"/>
  <c r="Q106" i="13"/>
  <c r="O106" i="13"/>
  <c r="N106" i="13"/>
  <c r="M106" i="13"/>
  <c r="S105" i="13"/>
  <c r="R105" i="13"/>
  <c r="Q105" i="13"/>
  <c r="P105" i="13"/>
  <c r="O105" i="13"/>
  <c r="N105" i="13"/>
  <c r="M105" i="13"/>
  <c r="R103" i="13"/>
  <c r="Q103" i="13"/>
  <c r="P103" i="13"/>
  <c r="S102" i="13"/>
  <c r="R102" i="13"/>
  <c r="Q102" i="13"/>
  <c r="P102" i="13"/>
  <c r="O102" i="13"/>
  <c r="N102" i="13"/>
  <c r="M102" i="13"/>
  <c r="S101" i="13"/>
  <c r="R101" i="13"/>
  <c r="Q101" i="13"/>
  <c r="P101" i="13"/>
  <c r="O101" i="13"/>
  <c r="N101" i="13"/>
  <c r="M101" i="13"/>
  <c r="S100" i="13"/>
  <c r="R100" i="13"/>
  <c r="Q100" i="13"/>
  <c r="P100" i="13"/>
  <c r="O100" i="13"/>
  <c r="N100" i="13"/>
  <c r="M100" i="13"/>
  <c r="S99" i="13"/>
  <c r="R99" i="13"/>
  <c r="Q99" i="13"/>
  <c r="P99" i="13"/>
  <c r="O99" i="13"/>
  <c r="N99" i="13"/>
  <c r="M99" i="13"/>
  <c r="S98" i="13"/>
  <c r="R98" i="13"/>
  <c r="Q98" i="13"/>
  <c r="P98" i="13"/>
  <c r="O98" i="13"/>
  <c r="N98" i="13"/>
  <c r="M98" i="13"/>
  <c r="S97" i="13"/>
  <c r="R97" i="13"/>
  <c r="Q97" i="13"/>
  <c r="P97" i="13"/>
  <c r="O97" i="13"/>
  <c r="N97" i="13"/>
  <c r="M97" i="13"/>
  <c r="S96" i="13"/>
  <c r="R96" i="13"/>
  <c r="S95" i="13"/>
  <c r="R95" i="13"/>
  <c r="Q95" i="13"/>
  <c r="P95" i="13"/>
  <c r="O95" i="13"/>
  <c r="N95" i="13"/>
  <c r="M95" i="13"/>
  <c r="S94" i="13"/>
  <c r="R94" i="13"/>
  <c r="Q94" i="13"/>
  <c r="P94" i="13"/>
  <c r="O94" i="13"/>
  <c r="N94" i="13"/>
  <c r="M94" i="13"/>
  <c r="S93" i="13"/>
  <c r="R93" i="13"/>
  <c r="Q93" i="13"/>
  <c r="P93" i="13"/>
  <c r="O93" i="13"/>
  <c r="N93" i="13"/>
  <c r="M93" i="13"/>
  <c r="S92" i="13"/>
  <c r="R92" i="13"/>
  <c r="Q92" i="13"/>
  <c r="P92" i="13"/>
  <c r="O92" i="13"/>
  <c r="N92" i="13"/>
  <c r="M92" i="13"/>
  <c r="S91" i="13"/>
  <c r="R91" i="13"/>
  <c r="Q91" i="13"/>
  <c r="P91" i="13"/>
  <c r="O91" i="13"/>
  <c r="N91" i="13"/>
  <c r="M91" i="13"/>
  <c r="S90" i="13"/>
  <c r="R90" i="13"/>
  <c r="Q90" i="13"/>
  <c r="P90" i="13"/>
  <c r="O90" i="13"/>
  <c r="N90" i="13"/>
  <c r="M90" i="13"/>
  <c r="S89" i="13"/>
  <c r="R89" i="13"/>
  <c r="Q89" i="13"/>
  <c r="P89" i="13"/>
  <c r="O89" i="13"/>
  <c r="N89" i="13"/>
  <c r="M89" i="13"/>
  <c r="S88" i="13"/>
  <c r="R88" i="13"/>
  <c r="Q88" i="13"/>
  <c r="P88" i="13"/>
  <c r="O88" i="13"/>
  <c r="N88" i="13"/>
  <c r="M88" i="13"/>
  <c r="S87" i="13"/>
  <c r="R87" i="13"/>
  <c r="Q87" i="13"/>
  <c r="P87" i="13"/>
  <c r="O87" i="13"/>
  <c r="N87" i="13"/>
  <c r="M87" i="13"/>
  <c r="S86" i="13"/>
  <c r="R86" i="13"/>
  <c r="Q86" i="13"/>
  <c r="P86" i="13"/>
  <c r="O86" i="13"/>
  <c r="N86" i="13"/>
  <c r="M86" i="13"/>
  <c r="S84" i="13"/>
  <c r="S83" i="13"/>
  <c r="R83" i="13"/>
  <c r="Q83" i="13"/>
  <c r="P83" i="13"/>
  <c r="O83" i="13"/>
  <c r="N83" i="13"/>
  <c r="M83" i="13"/>
  <c r="S82" i="13"/>
  <c r="R82" i="13"/>
  <c r="Q82" i="13"/>
  <c r="P82" i="13"/>
  <c r="O82" i="13"/>
  <c r="N82" i="13"/>
  <c r="M82" i="13"/>
  <c r="S81" i="13"/>
  <c r="R81" i="13"/>
  <c r="Q81" i="13"/>
  <c r="P81" i="13"/>
  <c r="O81" i="13"/>
  <c r="N81" i="13"/>
  <c r="M81" i="13"/>
  <c r="S80" i="13"/>
  <c r="R80" i="13"/>
  <c r="Q80" i="13"/>
  <c r="P80" i="13"/>
  <c r="O80" i="13"/>
  <c r="N80" i="13"/>
  <c r="M80" i="13"/>
  <c r="S79" i="13"/>
  <c r="R79" i="13"/>
  <c r="Q79" i="13"/>
  <c r="P79" i="13"/>
  <c r="O79" i="13"/>
  <c r="N79" i="13"/>
  <c r="M79" i="13"/>
  <c r="S78" i="13"/>
  <c r="R78" i="13"/>
  <c r="Q78" i="13"/>
  <c r="P78" i="13"/>
  <c r="O78" i="13"/>
  <c r="N78" i="13"/>
  <c r="M78" i="13"/>
  <c r="S77" i="13"/>
  <c r="R77" i="13"/>
  <c r="Q77" i="13"/>
  <c r="P77" i="13"/>
  <c r="O77" i="13"/>
  <c r="N77" i="13"/>
  <c r="M77" i="13"/>
  <c r="S76" i="13"/>
  <c r="R76" i="13"/>
  <c r="Q76" i="13"/>
  <c r="P76" i="13"/>
  <c r="O76" i="13"/>
  <c r="N76" i="13"/>
  <c r="M76" i="13"/>
  <c r="S75" i="13"/>
  <c r="R75" i="13"/>
  <c r="Q75" i="13"/>
  <c r="P75" i="13"/>
  <c r="O75" i="13"/>
  <c r="N75" i="13"/>
  <c r="M75" i="13"/>
  <c r="S73" i="13"/>
  <c r="R73" i="13"/>
  <c r="Q73" i="13"/>
  <c r="P73" i="13"/>
  <c r="O73" i="13"/>
  <c r="N73" i="13"/>
  <c r="M73" i="13"/>
  <c r="S72" i="13"/>
  <c r="R72" i="13"/>
  <c r="Q72" i="13"/>
  <c r="P72" i="13"/>
  <c r="O72" i="13"/>
  <c r="N72" i="13"/>
  <c r="M72" i="13"/>
  <c r="S71" i="13"/>
  <c r="R71" i="13"/>
  <c r="Q71" i="13"/>
  <c r="P71" i="13"/>
  <c r="O71" i="13"/>
  <c r="N71" i="13"/>
  <c r="M71" i="13"/>
  <c r="S70" i="13"/>
  <c r="R70" i="13"/>
  <c r="Q70" i="13"/>
  <c r="P70" i="13"/>
  <c r="O70" i="13"/>
  <c r="N70" i="13"/>
  <c r="M70" i="13"/>
  <c r="S69" i="13"/>
  <c r="R69" i="13"/>
  <c r="Q69" i="13"/>
  <c r="P69" i="13"/>
  <c r="O69" i="13"/>
  <c r="N69" i="13"/>
  <c r="M69" i="13"/>
  <c r="S68" i="13"/>
  <c r="R68" i="13"/>
  <c r="Q68" i="13"/>
  <c r="P68" i="13"/>
  <c r="O68" i="13"/>
  <c r="N68" i="13"/>
  <c r="M68" i="13"/>
  <c r="S67" i="13"/>
  <c r="R67" i="13"/>
  <c r="Q67" i="13"/>
  <c r="P67" i="13"/>
  <c r="O67" i="13"/>
  <c r="N67" i="13"/>
  <c r="M67" i="13"/>
  <c r="S66" i="13"/>
  <c r="R66" i="13"/>
  <c r="Q66" i="13"/>
  <c r="P66" i="13"/>
  <c r="O66" i="13"/>
  <c r="N66" i="13"/>
  <c r="M66" i="13"/>
  <c r="W59" i="13"/>
  <c r="W58" i="13"/>
  <c r="W57" i="13"/>
  <c r="W56" i="13"/>
  <c r="W55" i="13"/>
  <c r="Q55" i="13"/>
  <c r="W54" i="13"/>
  <c r="O54" i="13"/>
  <c r="W53" i="13"/>
  <c r="O53" i="13"/>
  <c r="W52" i="13"/>
  <c r="H52" i="13"/>
  <c r="W51" i="13"/>
  <c r="O51" i="13"/>
  <c r="W48" i="13"/>
  <c r="K48" i="13"/>
  <c r="J48" i="13"/>
  <c r="H48" i="13"/>
  <c r="B48" i="13"/>
  <c r="W47" i="13"/>
  <c r="K47" i="13"/>
  <c r="S103" i="13" s="1"/>
  <c r="J47" i="13"/>
  <c r="I47" i="13"/>
  <c r="H47" i="13"/>
  <c r="G47" i="13"/>
  <c r="F47" i="13"/>
  <c r="E47" i="13"/>
  <c r="D47" i="13"/>
  <c r="C47" i="13"/>
  <c r="B47" i="13"/>
  <c r="B71" i="17" s="1"/>
  <c r="W46" i="13"/>
  <c r="W45" i="13"/>
  <c r="O45" i="13"/>
  <c r="W44" i="13"/>
  <c r="W43" i="13"/>
  <c r="Q43" i="13"/>
  <c r="O43" i="13"/>
  <c r="W42" i="13"/>
  <c r="Q42" i="13"/>
  <c r="W41" i="13"/>
  <c r="W39" i="13"/>
  <c r="K39" i="13"/>
  <c r="J39" i="13"/>
  <c r="G69" i="17" s="1"/>
  <c r="I39" i="13"/>
  <c r="H39" i="13"/>
  <c r="G39" i="13"/>
  <c r="F39" i="13"/>
  <c r="E39" i="13"/>
  <c r="E48" i="13" s="1"/>
  <c r="D39" i="13"/>
  <c r="C39" i="13"/>
  <c r="C48" i="13" s="1"/>
  <c r="B39" i="13"/>
  <c r="M96" i="13" s="1"/>
  <c r="W38" i="13"/>
  <c r="U38" i="13"/>
  <c r="W37" i="13"/>
  <c r="O37" i="13"/>
  <c r="W36" i="13"/>
  <c r="W35" i="13"/>
  <c r="O35" i="13"/>
  <c r="W34" i="13"/>
  <c r="Q34" i="13"/>
  <c r="W33" i="13"/>
  <c r="W32" i="13"/>
  <c r="Q32" i="13"/>
  <c r="O32" i="13"/>
  <c r="W31" i="13"/>
  <c r="Q31" i="13"/>
  <c r="O31" i="13"/>
  <c r="W30" i="13"/>
  <c r="W29" i="13"/>
  <c r="W25" i="13"/>
  <c r="O25" i="13"/>
  <c r="J25" i="13"/>
  <c r="F25" i="13"/>
  <c r="D25" i="13"/>
  <c r="E16" i="16" s="1"/>
  <c r="W24" i="13"/>
  <c r="Q24" i="13"/>
  <c r="K24" i="13"/>
  <c r="J24" i="13"/>
  <c r="I24" i="13"/>
  <c r="H24" i="13"/>
  <c r="G24" i="13"/>
  <c r="F24" i="13"/>
  <c r="E24" i="13"/>
  <c r="N84" i="13" s="1"/>
  <c r="D24" i="13"/>
  <c r="C24" i="13"/>
  <c r="M84" i="13" s="1"/>
  <c r="B24" i="13"/>
  <c r="B64" i="17" s="1"/>
  <c r="W23" i="13"/>
  <c r="W22" i="13"/>
  <c r="O22" i="13"/>
  <c r="W21" i="13"/>
  <c r="Q21" i="13"/>
  <c r="W20" i="13"/>
  <c r="O20" i="13"/>
  <c r="W19" i="13"/>
  <c r="W18" i="13"/>
  <c r="O18" i="13"/>
  <c r="W17" i="13"/>
  <c r="Q17" i="13"/>
  <c r="O17" i="13"/>
  <c r="W16" i="13"/>
  <c r="W15" i="13"/>
  <c r="O15" i="13"/>
  <c r="W13" i="13"/>
  <c r="K13" i="13"/>
  <c r="J13" i="13"/>
  <c r="I13" i="13"/>
  <c r="H13" i="13"/>
  <c r="G13" i="13"/>
  <c r="F13" i="13"/>
  <c r="E13" i="13"/>
  <c r="D13" i="13"/>
  <c r="C13" i="13"/>
  <c r="B13" i="13"/>
  <c r="W12" i="13"/>
  <c r="U12" i="13"/>
  <c r="Q12" i="13"/>
  <c r="O12" i="13"/>
  <c r="W11" i="13"/>
  <c r="W10" i="13"/>
  <c r="O10" i="13"/>
  <c r="W9" i="13"/>
  <c r="W8" i="13"/>
  <c r="U8" i="13"/>
  <c r="Q8" i="13"/>
  <c r="W7" i="13"/>
  <c r="O7" i="13"/>
  <c r="W6" i="13"/>
  <c r="O6" i="13"/>
  <c r="W5" i="13"/>
  <c r="U5" i="13"/>
  <c r="G43" i="12"/>
  <c r="I42" i="12"/>
  <c r="H42" i="12"/>
  <c r="G42" i="12"/>
  <c r="I38" i="12"/>
  <c r="H38" i="12"/>
  <c r="G38" i="12"/>
  <c r="F38" i="12"/>
  <c r="F43" i="12" s="1"/>
  <c r="E38" i="12"/>
  <c r="E40" i="12" s="1"/>
  <c r="D38" i="12"/>
  <c r="I34" i="12"/>
  <c r="H34" i="12"/>
  <c r="G34" i="12"/>
  <c r="F34" i="12"/>
  <c r="F42" i="12" s="1"/>
  <c r="E34" i="12"/>
  <c r="E42" i="12" s="1"/>
  <c r="D34" i="12"/>
  <c r="D42" i="12" s="1"/>
  <c r="E33" i="12"/>
  <c r="I23" i="12"/>
  <c r="H23" i="12"/>
  <c r="G23" i="12"/>
  <c r="F23" i="12"/>
  <c r="E23" i="12"/>
  <c r="D23" i="12"/>
  <c r="I22" i="12"/>
  <c r="H22" i="12"/>
  <c r="G22" i="12"/>
  <c r="F22" i="12"/>
  <c r="E22" i="12"/>
  <c r="D22" i="12"/>
  <c r="I16" i="12"/>
  <c r="I14" i="12"/>
  <c r="H14" i="12"/>
  <c r="G14" i="12"/>
  <c r="G4" i="12"/>
  <c r="P59" i="11"/>
  <c r="O59" i="11"/>
  <c r="N59" i="11"/>
  <c r="M59" i="11"/>
  <c r="L59" i="11"/>
  <c r="P58" i="11"/>
  <c r="O58" i="11"/>
  <c r="N58" i="11"/>
  <c r="M58" i="11"/>
  <c r="L58" i="11"/>
  <c r="P56" i="11"/>
  <c r="P55" i="11"/>
  <c r="O55" i="11"/>
  <c r="N55" i="11"/>
  <c r="M55" i="11"/>
  <c r="L55" i="11"/>
  <c r="P54" i="11"/>
  <c r="O54" i="11"/>
  <c r="N54" i="11"/>
  <c r="M54" i="11"/>
  <c r="L54" i="11"/>
  <c r="P53" i="11"/>
  <c r="O53" i="11"/>
  <c r="N53" i="11"/>
  <c r="M53" i="11"/>
  <c r="L53" i="11"/>
  <c r="P52" i="11"/>
  <c r="O52" i="11"/>
  <c r="N52" i="11"/>
  <c r="M52" i="11"/>
  <c r="L52" i="11"/>
  <c r="P51" i="11"/>
  <c r="O51" i="11"/>
  <c r="N51" i="11"/>
  <c r="M51" i="11"/>
  <c r="L51" i="11"/>
  <c r="P50" i="11"/>
  <c r="O50" i="11"/>
  <c r="N50" i="11"/>
  <c r="M50" i="11"/>
  <c r="L50" i="11"/>
  <c r="L49" i="11"/>
  <c r="P48" i="11"/>
  <c r="O48" i="11"/>
  <c r="N48" i="11"/>
  <c r="M48" i="11"/>
  <c r="L48" i="11"/>
  <c r="P47" i="11"/>
  <c r="O47" i="11"/>
  <c r="N47" i="11"/>
  <c r="M47" i="11"/>
  <c r="L47" i="11"/>
  <c r="P46" i="11"/>
  <c r="O46" i="11"/>
  <c r="N46" i="11"/>
  <c r="M46" i="11"/>
  <c r="L46" i="11"/>
  <c r="P45" i="11"/>
  <c r="O45" i="11"/>
  <c r="N45" i="11"/>
  <c r="M45" i="11"/>
  <c r="L45" i="11"/>
  <c r="N44" i="11"/>
  <c r="P43" i="11"/>
  <c r="O43" i="11"/>
  <c r="N43" i="11"/>
  <c r="M43" i="11"/>
  <c r="L43" i="11"/>
  <c r="P42" i="11"/>
  <c r="O42" i="11"/>
  <c r="N42" i="11"/>
  <c r="M42" i="11"/>
  <c r="L42" i="11"/>
  <c r="P41" i="11"/>
  <c r="O41" i="11"/>
  <c r="N41" i="11"/>
  <c r="M41" i="11"/>
  <c r="L41" i="11"/>
  <c r="P40" i="11"/>
  <c r="O40" i="11"/>
  <c r="N40" i="11"/>
  <c r="M40" i="11"/>
  <c r="L40" i="11"/>
  <c r="P39" i="11"/>
  <c r="O39" i="11"/>
  <c r="N39" i="11"/>
  <c r="M39" i="11"/>
  <c r="L39" i="11"/>
  <c r="P38" i="11"/>
  <c r="O38" i="11"/>
  <c r="N38" i="11"/>
  <c r="M38" i="11"/>
  <c r="L38" i="11"/>
  <c r="P37" i="11"/>
  <c r="O37" i="11"/>
  <c r="N37" i="11"/>
  <c r="M37" i="11"/>
  <c r="L37" i="11"/>
  <c r="S31" i="11"/>
  <c r="R31" i="11"/>
  <c r="Q31" i="11"/>
  <c r="P31" i="11"/>
  <c r="R30" i="11"/>
  <c r="Q30" i="11"/>
  <c r="I29" i="11"/>
  <c r="E29" i="11"/>
  <c r="D29" i="11"/>
  <c r="L27" i="11"/>
  <c r="J27" i="11"/>
  <c r="I27" i="11"/>
  <c r="H27" i="11"/>
  <c r="R27" i="11" s="1"/>
  <c r="G27" i="11"/>
  <c r="Q27" i="11" s="1"/>
  <c r="F27" i="11"/>
  <c r="P27" i="11" s="1"/>
  <c r="E27" i="11"/>
  <c r="O27" i="11" s="1"/>
  <c r="D27" i="11"/>
  <c r="C27" i="11"/>
  <c r="B27" i="11"/>
  <c r="R26" i="11"/>
  <c r="Q26" i="11"/>
  <c r="S25" i="11"/>
  <c r="R25" i="11"/>
  <c r="Q25" i="11"/>
  <c r="O25" i="11"/>
  <c r="R24" i="11"/>
  <c r="Q24" i="11"/>
  <c r="P24" i="11"/>
  <c r="L24" i="11"/>
  <c r="R23" i="11"/>
  <c r="Q23" i="11"/>
  <c r="N23" i="11"/>
  <c r="R22" i="11"/>
  <c r="Q22" i="11"/>
  <c r="S21" i="11"/>
  <c r="P21" i="11"/>
  <c r="O21" i="11"/>
  <c r="Q18" i="11"/>
  <c r="P18" i="11"/>
  <c r="O18" i="11"/>
  <c r="N18" i="11"/>
  <c r="J18" i="11"/>
  <c r="I18" i="11"/>
  <c r="P49" i="11" s="1"/>
  <c r="H18" i="11"/>
  <c r="G18" i="11"/>
  <c r="F18" i="11"/>
  <c r="E18" i="11"/>
  <c r="M49" i="11" s="1"/>
  <c r="D18" i="11"/>
  <c r="C18" i="11"/>
  <c r="B18" i="11"/>
  <c r="R17" i="11"/>
  <c r="Q17" i="11"/>
  <c r="P17" i="11"/>
  <c r="O17" i="11"/>
  <c r="R16" i="11"/>
  <c r="Q16" i="11"/>
  <c r="P16" i="11"/>
  <c r="O16" i="11"/>
  <c r="L16" i="11"/>
  <c r="R15" i="11"/>
  <c r="Q15" i="11"/>
  <c r="P15" i="11"/>
  <c r="L15" i="11"/>
  <c r="R14" i="11"/>
  <c r="Q14" i="11"/>
  <c r="S11" i="11"/>
  <c r="R11" i="11"/>
  <c r="Q11" i="11"/>
  <c r="L11" i="11"/>
  <c r="J11" i="11"/>
  <c r="I11" i="11"/>
  <c r="H11" i="11"/>
  <c r="G11" i="11"/>
  <c r="F11" i="11"/>
  <c r="E11" i="11"/>
  <c r="D11" i="11"/>
  <c r="C11" i="11"/>
  <c r="B11" i="11"/>
  <c r="Q10" i="11"/>
  <c r="P10" i="11"/>
  <c r="R9" i="11"/>
  <c r="Q9" i="11"/>
  <c r="P9" i="11"/>
  <c r="O9" i="11"/>
  <c r="S8" i="11"/>
  <c r="R8" i="11"/>
  <c r="Q8" i="11"/>
  <c r="P8" i="11"/>
  <c r="O8" i="11"/>
  <c r="R7" i="11"/>
  <c r="Q7" i="11"/>
  <c r="P7" i="11"/>
  <c r="O7" i="11"/>
  <c r="R6" i="11"/>
  <c r="Q6" i="11"/>
  <c r="P6" i="11"/>
  <c r="L6" i="11"/>
  <c r="R5" i="11"/>
  <c r="Q5" i="11"/>
  <c r="L5" i="11"/>
  <c r="T4" i="11"/>
  <c r="R4" i="11"/>
  <c r="Q4" i="11"/>
  <c r="O4" i="11"/>
  <c r="P61" i="10"/>
  <c r="O61" i="10"/>
  <c r="N61" i="10"/>
  <c r="M61" i="10"/>
  <c r="L61" i="10"/>
  <c r="P59" i="10"/>
  <c r="O59" i="10"/>
  <c r="N59" i="10"/>
  <c r="M59" i="10"/>
  <c r="L59" i="10"/>
  <c r="M57" i="10"/>
  <c r="L57" i="10"/>
  <c r="P56" i="10"/>
  <c r="O56" i="10"/>
  <c r="N56" i="10"/>
  <c r="M56" i="10"/>
  <c r="L56" i="10"/>
  <c r="P55" i="10"/>
  <c r="O55" i="10"/>
  <c r="N55" i="10"/>
  <c r="M55" i="10"/>
  <c r="L55" i="10"/>
  <c r="P53" i="10"/>
  <c r="O53" i="10"/>
  <c r="N53" i="10"/>
  <c r="M53" i="10"/>
  <c r="L53" i="10"/>
  <c r="P51" i="10"/>
  <c r="O51" i="10"/>
  <c r="N51" i="10"/>
  <c r="M51" i="10"/>
  <c r="L51" i="10"/>
  <c r="P50" i="10"/>
  <c r="O50" i="10"/>
  <c r="N50" i="10"/>
  <c r="M50" i="10"/>
  <c r="L50" i="10"/>
  <c r="P48" i="10"/>
  <c r="O48" i="10"/>
  <c r="N48" i="10"/>
  <c r="M48" i="10"/>
  <c r="L48" i="10"/>
  <c r="P47" i="10"/>
  <c r="O47" i="10"/>
  <c r="N47" i="10"/>
  <c r="M47" i="10"/>
  <c r="L47" i="10"/>
  <c r="P46" i="10"/>
  <c r="O46" i="10"/>
  <c r="N46" i="10"/>
  <c r="M46" i="10"/>
  <c r="L46" i="10"/>
  <c r="P44" i="10"/>
  <c r="O44" i="10"/>
  <c r="N44" i="10"/>
  <c r="M44" i="10"/>
  <c r="L44" i="10"/>
  <c r="P42" i="10"/>
  <c r="O42" i="10"/>
  <c r="N42" i="10"/>
  <c r="M42" i="10"/>
  <c r="L42" i="10"/>
  <c r="P41" i="10"/>
  <c r="O41" i="10"/>
  <c r="N41" i="10"/>
  <c r="M41" i="10"/>
  <c r="L41" i="10"/>
  <c r="P40" i="10"/>
  <c r="O40" i="10"/>
  <c r="N40" i="10"/>
  <c r="M40" i="10"/>
  <c r="L40" i="10"/>
  <c r="P39" i="10"/>
  <c r="O39" i="10"/>
  <c r="N39" i="10"/>
  <c r="M39" i="10"/>
  <c r="L39" i="10"/>
  <c r="P37" i="10"/>
  <c r="O37" i="10"/>
  <c r="N37" i="10"/>
  <c r="M37" i="10"/>
  <c r="L37" i="10"/>
  <c r="P36" i="10"/>
  <c r="O36" i="10"/>
  <c r="N36" i="10"/>
  <c r="M36" i="10"/>
  <c r="L36" i="10"/>
  <c r="T31" i="10"/>
  <c r="S31" i="10"/>
  <c r="R31" i="10"/>
  <c r="Q31" i="10"/>
  <c r="P31" i="10"/>
  <c r="O31" i="10"/>
  <c r="N31" i="10"/>
  <c r="M31" i="10"/>
  <c r="L31" i="10"/>
  <c r="T29" i="10"/>
  <c r="S29" i="10"/>
  <c r="R29" i="10"/>
  <c r="Q29" i="10"/>
  <c r="P29" i="10"/>
  <c r="O29" i="10"/>
  <c r="N29" i="10"/>
  <c r="M29" i="10"/>
  <c r="L29" i="10"/>
  <c r="R26" i="10"/>
  <c r="O26" i="10"/>
  <c r="N26" i="10"/>
  <c r="L26" i="10"/>
  <c r="J26" i="10"/>
  <c r="T26" i="10" s="1"/>
  <c r="I26" i="10"/>
  <c r="P57" i="10" s="1"/>
  <c r="H26" i="10"/>
  <c r="G26" i="10"/>
  <c r="Q26" i="10" s="1"/>
  <c r="F26" i="10"/>
  <c r="E26" i="10"/>
  <c r="D26" i="10"/>
  <c r="C26" i="10"/>
  <c r="M26" i="10" s="1"/>
  <c r="B26" i="10"/>
  <c r="T25" i="10"/>
  <c r="S25" i="10"/>
  <c r="R25" i="10"/>
  <c r="Q25" i="10"/>
  <c r="P25" i="10"/>
  <c r="O25" i="10"/>
  <c r="N25" i="10"/>
  <c r="M25" i="10"/>
  <c r="L25" i="10"/>
  <c r="T24" i="10"/>
  <c r="S24" i="10"/>
  <c r="R24" i="10"/>
  <c r="Q24" i="10"/>
  <c r="P24" i="10"/>
  <c r="O24" i="10"/>
  <c r="N24" i="10"/>
  <c r="M24" i="10"/>
  <c r="L24" i="10"/>
  <c r="T22" i="10"/>
  <c r="S22" i="10"/>
  <c r="R22" i="10"/>
  <c r="Q22" i="10"/>
  <c r="P22" i="10"/>
  <c r="O22" i="10"/>
  <c r="N22" i="10"/>
  <c r="M22" i="10"/>
  <c r="L22" i="10"/>
  <c r="T21" i="10"/>
  <c r="R21" i="10"/>
  <c r="Q21" i="10"/>
  <c r="P21" i="10"/>
  <c r="M21" i="10"/>
  <c r="J21" i="10"/>
  <c r="I21" i="10"/>
  <c r="H21" i="10"/>
  <c r="G21" i="10"/>
  <c r="F21" i="10"/>
  <c r="N52" i="10" s="1"/>
  <c r="E21" i="10"/>
  <c r="O21" i="10" s="1"/>
  <c r="D21" i="10"/>
  <c r="N21" i="10" s="1"/>
  <c r="C21" i="10"/>
  <c r="B21" i="10"/>
  <c r="L21" i="10" s="1"/>
  <c r="T20" i="10"/>
  <c r="S20" i="10"/>
  <c r="R20" i="10"/>
  <c r="Q20" i="10"/>
  <c r="P20" i="10"/>
  <c r="O20" i="10"/>
  <c r="N20" i="10"/>
  <c r="M20" i="10"/>
  <c r="L20" i="10"/>
  <c r="T19" i="10"/>
  <c r="S19" i="10"/>
  <c r="R19" i="10"/>
  <c r="Q19" i="10"/>
  <c r="P19" i="10"/>
  <c r="O19" i="10"/>
  <c r="N19" i="10"/>
  <c r="M19" i="10"/>
  <c r="L19" i="10"/>
  <c r="H18" i="10"/>
  <c r="T17" i="10"/>
  <c r="S17" i="10"/>
  <c r="R17" i="10"/>
  <c r="Q17" i="10"/>
  <c r="P17" i="10"/>
  <c r="O17" i="10"/>
  <c r="N17" i="10"/>
  <c r="M17" i="10"/>
  <c r="L17" i="10"/>
  <c r="T16" i="10"/>
  <c r="S16" i="10"/>
  <c r="R16" i="10"/>
  <c r="Q16" i="10"/>
  <c r="P16" i="10"/>
  <c r="O16" i="10"/>
  <c r="N16" i="10"/>
  <c r="M16" i="10"/>
  <c r="L16" i="10"/>
  <c r="T15" i="10"/>
  <c r="S15" i="10"/>
  <c r="R15" i="10"/>
  <c r="Q15" i="10"/>
  <c r="P15" i="10"/>
  <c r="O15" i="10"/>
  <c r="N15" i="10"/>
  <c r="M15" i="10"/>
  <c r="L15" i="10"/>
  <c r="M13" i="10"/>
  <c r="C13" i="10"/>
  <c r="T12" i="10"/>
  <c r="S12" i="10"/>
  <c r="R12" i="10"/>
  <c r="Q12" i="10"/>
  <c r="P12" i="10"/>
  <c r="O12" i="10"/>
  <c r="N12" i="10"/>
  <c r="M12" i="10"/>
  <c r="L12" i="10"/>
  <c r="Q11" i="10"/>
  <c r="H11" i="10"/>
  <c r="G11" i="10"/>
  <c r="G13" i="10" s="1"/>
  <c r="Q13" i="10" s="1"/>
  <c r="T10" i="10"/>
  <c r="S10" i="10"/>
  <c r="R10" i="10"/>
  <c r="Q10" i="10"/>
  <c r="P10" i="10"/>
  <c r="O10" i="10"/>
  <c r="N10" i="10"/>
  <c r="M10" i="10"/>
  <c r="L10" i="10"/>
  <c r="T9" i="10"/>
  <c r="S9" i="10"/>
  <c r="R9" i="10"/>
  <c r="Q9" i="10"/>
  <c r="P9" i="10"/>
  <c r="O9" i="10"/>
  <c r="N9" i="10"/>
  <c r="M9" i="10"/>
  <c r="L9" i="10"/>
  <c r="T8" i="10"/>
  <c r="S8" i="10"/>
  <c r="R8" i="10"/>
  <c r="Q8" i="10"/>
  <c r="P8" i="10"/>
  <c r="O8" i="10"/>
  <c r="N8" i="10"/>
  <c r="M8" i="10"/>
  <c r="L8" i="10"/>
  <c r="T7" i="10"/>
  <c r="S7" i="10"/>
  <c r="R7" i="10"/>
  <c r="Q7" i="10"/>
  <c r="P7" i="10"/>
  <c r="O7" i="10"/>
  <c r="N7" i="10"/>
  <c r="M7" i="10"/>
  <c r="L7" i="10"/>
  <c r="T6" i="10"/>
  <c r="S6" i="10"/>
  <c r="M6" i="10"/>
  <c r="L6" i="10"/>
  <c r="J6" i="10"/>
  <c r="J11" i="10" s="1"/>
  <c r="I6" i="10"/>
  <c r="I11" i="10" s="1"/>
  <c r="H6" i="10"/>
  <c r="R6" i="10" s="1"/>
  <c r="G6" i="10"/>
  <c r="Q6" i="10" s="1"/>
  <c r="F6" i="10"/>
  <c r="N38" i="10" s="1"/>
  <c r="E6" i="10"/>
  <c r="O6" i="10" s="1"/>
  <c r="D6" i="10"/>
  <c r="C6" i="10"/>
  <c r="C11" i="10" s="1"/>
  <c r="B6" i="10"/>
  <c r="D14" i="12" s="1"/>
  <c r="T5" i="10"/>
  <c r="S5" i="10"/>
  <c r="R5" i="10"/>
  <c r="Q5" i="10"/>
  <c r="P5" i="10"/>
  <c r="O5" i="10"/>
  <c r="N5" i="10"/>
  <c r="M5" i="10"/>
  <c r="L5" i="10"/>
  <c r="T4" i="10"/>
  <c r="S4" i="10"/>
  <c r="R4" i="10"/>
  <c r="Q4" i="10"/>
  <c r="P4" i="10"/>
  <c r="O4" i="10"/>
  <c r="N4" i="10"/>
  <c r="M4" i="10"/>
  <c r="L4" i="10"/>
  <c r="P113" i="9"/>
  <c r="O113" i="9"/>
  <c r="N113" i="9"/>
  <c r="M113" i="9"/>
  <c r="L113" i="9"/>
  <c r="N112" i="9"/>
  <c r="M112" i="9"/>
  <c r="L112" i="9"/>
  <c r="P111" i="9"/>
  <c r="O111" i="9"/>
  <c r="N111" i="9"/>
  <c r="M111" i="9"/>
  <c r="L111" i="9"/>
  <c r="P110" i="9"/>
  <c r="O110" i="9"/>
  <c r="N110" i="9"/>
  <c r="M110" i="9"/>
  <c r="L110" i="9"/>
  <c r="P109" i="9"/>
  <c r="O109" i="9"/>
  <c r="N109" i="9"/>
  <c r="M109" i="9"/>
  <c r="L109" i="9"/>
  <c r="P108" i="9"/>
  <c r="O108" i="9"/>
  <c r="N108" i="9"/>
  <c r="M108" i="9"/>
  <c r="L108" i="9"/>
  <c r="P107" i="9"/>
  <c r="O107" i="9"/>
  <c r="N107" i="9"/>
  <c r="M107" i="9"/>
  <c r="L107" i="9"/>
  <c r="P106" i="9"/>
  <c r="O106" i="9"/>
  <c r="N106" i="9"/>
  <c r="M106" i="9"/>
  <c r="L106" i="9"/>
  <c r="P105" i="9"/>
  <c r="O105" i="9"/>
  <c r="N105" i="9"/>
  <c r="M105" i="9"/>
  <c r="L105" i="9"/>
  <c r="P104" i="9"/>
  <c r="O104" i="9"/>
  <c r="N104" i="9"/>
  <c r="M104" i="9"/>
  <c r="L104" i="9"/>
  <c r="P103" i="9"/>
  <c r="O103" i="9"/>
  <c r="N103" i="9"/>
  <c r="M103" i="9"/>
  <c r="L103" i="9"/>
  <c r="P100" i="9"/>
  <c r="O100" i="9"/>
  <c r="N100" i="9"/>
  <c r="M100" i="9"/>
  <c r="L100" i="9"/>
  <c r="P99" i="9"/>
  <c r="O99" i="9"/>
  <c r="N99" i="9"/>
  <c r="M99" i="9"/>
  <c r="L99" i="9"/>
  <c r="P98" i="9"/>
  <c r="O98" i="9"/>
  <c r="N98" i="9"/>
  <c r="M98" i="9"/>
  <c r="L98" i="9"/>
  <c r="P97" i="9"/>
  <c r="O97" i="9"/>
  <c r="N97" i="9"/>
  <c r="M97" i="9"/>
  <c r="L97" i="9"/>
  <c r="N96" i="9"/>
  <c r="P95" i="9"/>
  <c r="O95" i="9"/>
  <c r="N95" i="9"/>
  <c r="M95" i="9"/>
  <c r="L95" i="9"/>
  <c r="P94" i="9"/>
  <c r="O94" i="9"/>
  <c r="N94" i="9"/>
  <c r="M94" i="9"/>
  <c r="L94" i="9"/>
  <c r="P93" i="9"/>
  <c r="O93" i="9"/>
  <c r="N93" i="9"/>
  <c r="M93" i="9"/>
  <c r="L93" i="9"/>
  <c r="P92" i="9"/>
  <c r="O92" i="9"/>
  <c r="N92" i="9"/>
  <c r="M92" i="9"/>
  <c r="L92" i="9"/>
  <c r="P91" i="9"/>
  <c r="O91" i="9"/>
  <c r="N91" i="9"/>
  <c r="M91" i="9"/>
  <c r="L91" i="9"/>
  <c r="P90" i="9"/>
  <c r="O90" i="9"/>
  <c r="N90" i="9"/>
  <c r="M90" i="9"/>
  <c r="L90" i="9"/>
  <c r="P89" i="9"/>
  <c r="O89" i="9"/>
  <c r="N89" i="9"/>
  <c r="M89" i="9"/>
  <c r="L89" i="9"/>
  <c r="P88" i="9"/>
  <c r="O88" i="9"/>
  <c r="N88" i="9"/>
  <c r="M88" i="9"/>
  <c r="L88" i="9"/>
  <c r="P87" i="9"/>
  <c r="O87" i="9"/>
  <c r="N87" i="9"/>
  <c r="M87" i="9"/>
  <c r="L87" i="9"/>
  <c r="P86" i="9"/>
  <c r="O86" i="9"/>
  <c r="N86" i="9"/>
  <c r="M86" i="9"/>
  <c r="L86" i="9"/>
  <c r="P85" i="9"/>
  <c r="O85" i="9"/>
  <c r="N85" i="9"/>
  <c r="M85" i="9"/>
  <c r="L85" i="9"/>
  <c r="N83" i="9"/>
  <c r="M83" i="9"/>
  <c r="L83" i="9"/>
  <c r="P82" i="9"/>
  <c r="O82" i="9"/>
  <c r="N82" i="9"/>
  <c r="M82" i="9"/>
  <c r="L82" i="9"/>
  <c r="P81" i="9"/>
  <c r="O81" i="9"/>
  <c r="N81" i="9"/>
  <c r="M81" i="9"/>
  <c r="L81" i="9"/>
  <c r="P80" i="9"/>
  <c r="O80" i="9"/>
  <c r="N80" i="9"/>
  <c r="M80" i="9"/>
  <c r="L80" i="9"/>
  <c r="P79" i="9"/>
  <c r="O79" i="9"/>
  <c r="N79" i="9"/>
  <c r="M79" i="9"/>
  <c r="L79" i="9"/>
  <c r="P78" i="9"/>
  <c r="O78" i="9"/>
  <c r="N78" i="9"/>
  <c r="M78" i="9"/>
  <c r="L78" i="9"/>
  <c r="P77" i="9"/>
  <c r="O77" i="9"/>
  <c r="N77" i="9"/>
  <c r="M77" i="9"/>
  <c r="L77" i="9"/>
  <c r="P76" i="9"/>
  <c r="O76" i="9"/>
  <c r="N76" i="9"/>
  <c r="M76" i="9"/>
  <c r="L76" i="9"/>
  <c r="N75" i="9"/>
  <c r="M75" i="9"/>
  <c r="L75" i="9"/>
  <c r="P74" i="9"/>
  <c r="O74" i="9"/>
  <c r="N74" i="9"/>
  <c r="M74" i="9"/>
  <c r="L74" i="9"/>
  <c r="P73" i="9"/>
  <c r="O73" i="9"/>
  <c r="N73" i="9"/>
  <c r="M73" i="9"/>
  <c r="L73" i="9"/>
  <c r="P72" i="9"/>
  <c r="O72" i="9"/>
  <c r="N72" i="9"/>
  <c r="M72" i="9"/>
  <c r="L72" i="9"/>
  <c r="P71" i="9"/>
  <c r="O71" i="9"/>
  <c r="N71" i="9"/>
  <c r="M71" i="9"/>
  <c r="L71" i="9"/>
  <c r="P70" i="9"/>
  <c r="O70" i="9"/>
  <c r="N70" i="9"/>
  <c r="M70" i="9"/>
  <c r="L70" i="9"/>
  <c r="P69" i="9"/>
  <c r="O69" i="9"/>
  <c r="N69" i="9"/>
  <c r="M69" i="9"/>
  <c r="L69" i="9"/>
  <c r="P68" i="9"/>
  <c r="O68" i="9"/>
  <c r="N68" i="9"/>
  <c r="M68" i="9"/>
  <c r="L68" i="9"/>
  <c r="P67" i="9"/>
  <c r="O67" i="9"/>
  <c r="N67" i="9"/>
  <c r="M67" i="9"/>
  <c r="L67" i="9"/>
  <c r="P66" i="9"/>
  <c r="O66" i="9"/>
  <c r="N66" i="9"/>
  <c r="M66" i="9"/>
  <c r="L66" i="9"/>
  <c r="E60" i="9"/>
  <c r="D60" i="9"/>
  <c r="C60" i="9"/>
  <c r="Q59" i="9"/>
  <c r="P58" i="9"/>
  <c r="J58" i="9"/>
  <c r="I58" i="9"/>
  <c r="H58" i="9"/>
  <c r="G58" i="9"/>
  <c r="G60" i="9" s="1"/>
  <c r="F58" i="9"/>
  <c r="F60" i="9" s="1"/>
  <c r="E58" i="9"/>
  <c r="D58" i="9"/>
  <c r="C58" i="9"/>
  <c r="B58" i="9"/>
  <c r="R56" i="9"/>
  <c r="P53" i="9"/>
  <c r="R51" i="9"/>
  <c r="P51" i="9"/>
  <c r="Q49" i="9"/>
  <c r="I46" i="9"/>
  <c r="J45" i="9"/>
  <c r="I45" i="9"/>
  <c r="P101" i="9" s="1"/>
  <c r="H45" i="9"/>
  <c r="G45" i="9"/>
  <c r="F45" i="9"/>
  <c r="E45" i="9"/>
  <c r="D45" i="9"/>
  <c r="M101" i="9" s="1"/>
  <c r="C45" i="9"/>
  <c r="B45" i="9"/>
  <c r="P43" i="9"/>
  <c r="P42" i="9"/>
  <c r="R41" i="9"/>
  <c r="R39" i="9"/>
  <c r="J39" i="9"/>
  <c r="I39" i="9"/>
  <c r="H39" i="9"/>
  <c r="G6" i="12" s="1"/>
  <c r="G39" i="9"/>
  <c r="G46" i="9" s="1"/>
  <c r="F39" i="9"/>
  <c r="E39" i="9"/>
  <c r="E46" i="9" s="1"/>
  <c r="D39" i="9"/>
  <c r="E4" i="12" s="1"/>
  <c r="C39" i="9"/>
  <c r="B39" i="9"/>
  <c r="P37" i="9"/>
  <c r="P35" i="9"/>
  <c r="P34" i="9"/>
  <c r="R33" i="9"/>
  <c r="R32" i="9"/>
  <c r="P28" i="9"/>
  <c r="H24" i="9"/>
  <c r="R14" i="9" s="1"/>
  <c r="G24" i="9"/>
  <c r="F24" i="9"/>
  <c r="Q23" i="9"/>
  <c r="J23" i="9"/>
  <c r="I23" i="9"/>
  <c r="H23" i="9"/>
  <c r="R23" i="9" s="1"/>
  <c r="G23" i="9"/>
  <c r="F23" i="9"/>
  <c r="E23" i="9"/>
  <c r="D23" i="9"/>
  <c r="C23" i="9"/>
  <c r="B23" i="9"/>
  <c r="P19" i="9"/>
  <c r="R17" i="9"/>
  <c r="Q17" i="9"/>
  <c r="P17" i="9"/>
  <c r="Q16" i="9"/>
  <c r="J14" i="9"/>
  <c r="I14" i="9"/>
  <c r="H14" i="9"/>
  <c r="G14" i="9"/>
  <c r="F14" i="9"/>
  <c r="P14" i="9" s="1"/>
  <c r="E14" i="9"/>
  <c r="D14" i="9"/>
  <c r="C14" i="9"/>
  <c r="B14" i="9"/>
  <c r="P11" i="9"/>
  <c r="R9" i="9"/>
  <c r="Q9" i="9"/>
  <c r="P9" i="9"/>
  <c r="Q8" i="9"/>
  <c r="F43" i="8"/>
  <c r="E43" i="8"/>
  <c r="D43" i="8"/>
  <c r="F39" i="8"/>
  <c r="E39" i="8"/>
  <c r="I36" i="8"/>
  <c r="H36" i="8"/>
  <c r="G36" i="8"/>
  <c r="F36" i="8"/>
  <c r="E36" i="8"/>
  <c r="D36" i="8"/>
  <c r="H35" i="8"/>
  <c r="G35" i="8"/>
  <c r="E31" i="8"/>
  <c r="I27" i="8"/>
  <c r="H27" i="8"/>
  <c r="G27" i="8"/>
  <c r="F27" i="8"/>
  <c r="E27" i="8"/>
  <c r="D27" i="8"/>
  <c r="I26" i="8"/>
  <c r="H26" i="8"/>
  <c r="G26" i="8"/>
  <c r="F26" i="8"/>
  <c r="E26" i="8"/>
  <c r="D26" i="8"/>
  <c r="I25" i="8"/>
  <c r="H25" i="8"/>
  <c r="G25" i="8"/>
  <c r="F25" i="8"/>
  <c r="E25" i="8"/>
  <c r="D25" i="8"/>
  <c r="I24" i="8"/>
  <c r="H24" i="8"/>
  <c r="G24" i="8"/>
  <c r="F24" i="8"/>
  <c r="E24" i="8"/>
  <c r="D24" i="8"/>
  <c r="I23" i="8"/>
  <c r="H23" i="8"/>
  <c r="G23" i="8"/>
  <c r="F23" i="8"/>
  <c r="E23" i="8"/>
  <c r="D23" i="8"/>
  <c r="F15" i="8"/>
  <c r="F13" i="8"/>
  <c r="H10" i="8"/>
  <c r="P54" i="7"/>
  <c r="O54" i="7"/>
  <c r="N54" i="7"/>
  <c r="M54" i="7"/>
  <c r="L54" i="7"/>
  <c r="P53" i="7"/>
  <c r="O53" i="7"/>
  <c r="N53" i="7"/>
  <c r="M53" i="7"/>
  <c r="L53" i="7"/>
  <c r="P51" i="7"/>
  <c r="O51" i="7"/>
  <c r="N51" i="7"/>
  <c r="M51" i="7"/>
  <c r="L51" i="7"/>
  <c r="P50" i="7"/>
  <c r="O50" i="7"/>
  <c r="N50" i="7"/>
  <c r="M50" i="7"/>
  <c r="L50" i="7"/>
  <c r="P49" i="7"/>
  <c r="O49" i="7"/>
  <c r="N49" i="7"/>
  <c r="M49" i="7"/>
  <c r="L49" i="7"/>
  <c r="P48" i="7"/>
  <c r="O48" i="7"/>
  <c r="N48" i="7"/>
  <c r="M48" i="7"/>
  <c r="L48" i="7"/>
  <c r="O47" i="7"/>
  <c r="M47" i="7"/>
  <c r="P46" i="7"/>
  <c r="O46" i="7"/>
  <c r="N46" i="7"/>
  <c r="M46" i="7"/>
  <c r="L46" i="7"/>
  <c r="P45" i="7"/>
  <c r="O45" i="7"/>
  <c r="N45" i="7"/>
  <c r="M45" i="7"/>
  <c r="L45" i="7"/>
  <c r="P44" i="7"/>
  <c r="O44" i="7"/>
  <c r="N44" i="7"/>
  <c r="M44" i="7"/>
  <c r="L44" i="7"/>
  <c r="P42" i="7"/>
  <c r="O42" i="7"/>
  <c r="N42" i="7"/>
  <c r="M42" i="7"/>
  <c r="L42" i="7"/>
  <c r="P41" i="7"/>
  <c r="O41" i="7"/>
  <c r="N41" i="7"/>
  <c r="M41" i="7"/>
  <c r="L41" i="7"/>
  <c r="P40" i="7"/>
  <c r="O40" i="7"/>
  <c r="N40" i="7"/>
  <c r="M40" i="7"/>
  <c r="L40" i="7"/>
  <c r="P39" i="7"/>
  <c r="O39" i="7"/>
  <c r="N39" i="7"/>
  <c r="M39" i="7"/>
  <c r="L39" i="7"/>
  <c r="P38" i="7"/>
  <c r="O38" i="7"/>
  <c r="N38" i="7"/>
  <c r="M38" i="7"/>
  <c r="L38" i="7"/>
  <c r="P37" i="7"/>
  <c r="O37" i="7"/>
  <c r="N37" i="7"/>
  <c r="M37" i="7"/>
  <c r="L37" i="7"/>
  <c r="P36" i="7"/>
  <c r="O36" i="7"/>
  <c r="N36" i="7"/>
  <c r="M36" i="7"/>
  <c r="L36" i="7"/>
  <c r="P35" i="7"/>
  <c r="O35" i="7"/>
  <c r="N35" i="7"/>
  <c r="M35" i="7"/>
  <c r="L35" i="7"/>
  <c r="M34" i="7"/>
  <c r="S26" i="7"/>
  <c r="Q26" i="7"/>
  <c r="P26" i="7"/>
  <c r="O26" i="7"/>
  <c r="N26" i="7"/>
  <c r="Q25" i="7"/>
  <c r="P25" i="7"/>
  <c r="O25" i="7"/>
  <c r="N25" i="7"/>
  <c r="D24" i="7"/>
  <c r="S23" i="7"/>
  <c r="S22" i="7"/>
  <c r="S21" i="7"/>
  <c r="L20" i="7"/>
  <c r="R19" i="7"/>
  <c r="L19" i="7"/>
  <c r="J19" i="7"/>
  <c r="I19" i="7"/>
  <c r="H19" i="7"/>
  <c r="G19" i="7"/>
  <c r="F19" i="7"/>
  <c r="N47" i="7" s="1"/>
  <c r="E19" i="7"/>
  <c r="D19" i="7"/>
  <c r="N19" i="7" s="1"/>
  <c r="C19" i="7"/>
  <c r="M19" i="7" s="1"/>
  <c r="B19" i="7"/>
  <c r="P17" i="7"/>
  <c r="O17" i="7"/>
  <c r="N17" i="7"/>
  <c r="L17" i="7"/>
  <c r="P16" i="7"/>
  <c r="O16" i="7"/>
  <c r="N16" i="7"/>
  <c r="Q15" i="7"/>
  <c r="P15" i="7"/>
  <c r="O15" i="7"/>
  <c r="N15" i="7"/>
  <c r="Q14" i="7"/>
  <c r="O14" i="7"/>
  <c r="N14" i="7"/>
  <c r="J14" i="7"/>
  <c r="I14" i="7"/>
  <c r="H14" i="7"/>
  <c r="O43" i="7" s="1"/>
  <c r="G14" i="7"/>
  <c r="F14" i="7"/>
  <c r="E14" i="7"/>
  <c r="D14" i="7"/>
  <c r="M43" i="7" s="1"/>
  <c r="C14" i="7"/>
  <c r="B14" i="7"/>
  <c r="S12" i="7"/>
  <c r="Q12" i="7"/>
  <c r="P12" i="7"/>
  <c r="N12" i="7"/>
  <c r="L11" i="7"/>
  <c r="S10" i="7"/>
  <c r="P10" i="7"/>
  <c r="N10" i="7"/>
  <c r="P9" i="7"/>
  <c r="O9" i="7"/>
  <c r="N9" i="7"/>
  <c r="L9" i="7"/>
  <c r="P8" i="7"/>
  <c r="O8" i="7"/>
  <c r="N8" i="7"/>
  <c r="Q7" i="7"/>
  <c r="P7" i="7"/>
  <c r="O7" i="7"/>
  <c r="N7" i="7"/>
  <c r="R6" i="7"/>
  <c r="Q6" i="7"/>
  <c r="P6" i="7"/>
  <c r="O6" i="7"/>
  <c r="N6" i="7"/>
  <c r="S5" i="7"/>
  <c r="R5" i="7"/>
  <c r="Q5" i="7"/>
  <c r="P5" i="7"/>
  <c r="O5" i="7"/>
  <c r="S4" i="7"/>
  <c r="Q4" i="7"/>
  <c r="P4" i="7"/>
  <c r="N4" i="7"/>
  <c r="L4" i="7"/>
  <c r="J4" i="7"/>
  <c r="T4" i="7" s="1"/>
  <c r="I4" i="7"/>
  <c r="I24" i="7" s="1"/>
  <c r="H4" i="7"/>
  <c r="G4" i="7"/>
  <c r="Q22" i="7" s="1"/>
  <c r="F4" i="7"/>
  <c r="E4" i="7"/>
  <c r="O10" i="7" s="1"/>
  <c r="D4" i="7"/>
  <c r="C4" i="7"/>
  <c r="M21" i="7" s="1"/>
  <c r="B4" i="7"/>
  <c r="B24" i="7" s="1"/>
  <c r="P52" i="6"/>
  <c r="O52" i="6"/>
  <c r="N52" i="6"/>
  <c r="M52" i="6"/>
  <c r="L52" i="6"/>
  <c r="P50" i="6"/>
  <c r="O50" i="6"/>
  <c r="N50" i="6"/>
  <c r="M50" i="6"/>
  <c r="L50" i="6"/>
  <c r="P49" i="6"/>
  <c r="O49" i="6"/>
  <c r="N49" i="6"/>
  <c r="M49" i="6"/>
  <c r="L49" i="6"/>
  <c r="P47" i="6"/>
  <c r="O47" i="6"/>
  <c r="N47" i="6"/>
  <c r="M47" i="6"/>
  <c r="L47" i="6"/>
  <c r="P46" i="6"/>
  <c r="O46" i="6"/>
  <c r="N46" i="6"/>
  <c r="M46" i="6"/>
  <c r="L46" i="6"/>
  <c r="P45" i="6"/>
  <c r="O45" i="6"/>
  <c r="N45" i="6"/>
  <c r="M45" i="6"/>
  <c r="L45" i="6"/>
  <c r="P43" i="6"/>
  <c r="O43" i="6"/>
  <c r="N43" i="6"/>
  <c r="M43" i="6"/>
  <c r="L43" i="6"/>
  <c r="P42" i="6"/>
  <c r="O42" i="6"/>
  <c r="N42" i="6"/>
  <c r="M42" i="6"/>
  <c r="L42" i="6"/>
  <c r="P40" i="6"/>
  <c r="O40" i="6"/>
  <c r="N40" i="6"/>
  <c r="M40" i="6"/>
  <c r="L40" i="6"/>
  <c r="P38" i="6"/>
  <c r="O38" i="6"/>
  <c r="N38" i="6"/>
  <c r="M38" i="6"/>
  <c r="L38" i="6"/>
  <c r="P37" i="6"/>
  <c r="O37" i="6"/>
  <c r="N37" i="6"/>
  <c r="M37" i="6"/>
  <c r="L37" i="6"/>
  <c r="P36" i="6"/>
  <c r="O36" i="6"/>
  <c r="N36" i="6"/>
  <c r="M36" i="6"/>
  <c r="L36" i="6"/>
  <c r="P35" i="6"/>
  <c r="O35" i="6"/>
  <c r="N35" i="6"/>
  <c r="M35" i="6"/>
  <c r="L35" i="6"/>
  <c r="P34" i="6"/>
  <c r="O34" i="6"/>
  <c r="N34" i="6"/>
  <c r="M34" i="6"/>
  <c r="L34" i="6"/>
  <c r="P33" i="6"/>
  <c r="O33" i="6"/>
  <c r="N33" i="6"/>
  <c r="M33" i="6"/>
  <c r="P32" i="6"/>
  <c r="O32" i="6"/>
  <c r="N32" i="6"/>
  <c r="M32" i="6"/>
  <c r="L32" i="6"/>
  <c r="P31" i="6"/>
  <c r="O31" i="6"/>
  <c r="N31" i="6"/>
  <c r="M31" i="6"/>
  <c r="L31" i="6"/>
  <c r="T24" i="6"/>
  <c r="S24" i="6"/>
  <c r="R24" i="6"/>
  <c r="Q24" i="6"/>
  <c r="P24" i="6"/>
  <c r="O24" i="6"/>
  <c r="N24" i="6"/>
  <c r="M24" i="6"/>
  <c r="L24" i="6"/>
  <c r="T22" i="6"/>
  <c r="S22" i="6"/>
  <c r="R22" i="6"/>
  <c r="Q22" i="6"/>
  <c r="P22" i="6"/>
  <c r="O22" i="6"/>
  <c r="N22" i="6"/>
  <c r="M22" i="6"/>
  <c r="L22" i="6"/>
  <c r="T21" i="6"/>
  <c r="S21" i="6"/>
  <c r="R21" i="6"/>
  <c r="Q21" i="6"/>
  <c r="P21" i="6"/>
  <c r="O21" i="6"/>
  <c r="N21" i="6"/>
  <c r="M21" i="6"/>
  <c r="L21" i="6"/>
  <c r="F20" i="6"/>
  <c r="F23" i="6" s="1"/>
  <c r="T19" i="6"/>
  <c r="S19" i="6"/>
  <c r="R19" i="6"/>
  <c r="Q19" i="6"/>
  <c r="P19" i="6"/>
  <c r="O19" i="6"/>
  <c r="N19" i="6"/>
  <c r="M19" i="6"/>
  <c r="L19" i="6"/>
  <c r="T18" i="6"/>
  <c r="S18" i="6"/>
  <c r="R18" i="6"/>
  <c r="Q18" i="6"/>
  <c r="P18" i="6"/>
  <c r="O18" i="6"/>
  <c r="N18" i="6"/>
  <c r="M18" i="6"/>
  <c r="L18" i="6"/>
  <c r="T17" i="6"/>
  <c r="S17" i="6"/>
  <c r="R17" i="6"/>
  <c r="Q17" i="6"/>
  <c r="P17" i="6"/>
  <c r="O17" i="6"/>
  <c r="N17" i="6"/>
  <c r="M17" i="6"/>
  <c r="L17" i="6"/>
  <c r="D16" i="6"/>
  <c r="N16" i="6" s="1"/>
  <c r="T15" i="6"/>
  <c r="S15" i="6"/>
  <c r="R15" i="6"/>
  <c r="Q15" i="6"/>
  <c r="P15" i="6"/>
  <c r="O15" i="6"/>
  <c r="N15" i="6"/>
  <c r="M15" i="6"/>
  <c r="L15" i="6"/>
  <c r="T14" i="6"/>
  <c r="S14" i="6"/>
  <c r="R14" i="6"/>
  <c r="Q14" i="6"/>
  <c r="P14" i="6"/>
  <c r="O14" i="6"/>
  <c r="N14" i="6"/>
  <c r="M14" i="6"/>
  <c r="L14" i="6"/>
  <c r="I13" i="6"/>
  <c r="H30" i="8" s="1"/>
  <c r="H13" i="6"/>
  <c r="F13" i="6"/>
  <c r="T12" i="6"/>
  <c r="S12" i="6"/>
  <c r="R12" i="6"/>
  <c r="Q12" i="6"/>
  <c r="P12" i="6"/>
  <c r="O12" i="6"/>
  <c r="N12" i="6"/>
  <c r="M12" i="6"/>
  <c r="L12" i="6"/>
  <c r="R11" i="6"/>
  <c r="J11" i="6"/>
  <c r="I11" i="6"/>
  <c r="F11" i="6"/>
  <c r="F16" i="6" s="1"/>
  <c r="D11" i="6"/>
  <c r="B11" i="6"/>
  <c r="B16" i="6" s="1"/>
  <c r="T10" i="6"/>
  <c r="S10" i="6"/>
  <c r="R10" i="6"/>
  <c r="Q10" i="6"/>
  <c r="P10" i="6"/>
  <c r="O10" i="6"/>
  <c r="N10" i="6"/>
  <c r="M10" i="6"/>
  <c r="L10" i="6"/>
  <c r="T9" i="6"/>
  <c r="S9" i="6"/>
  <c r="R9" i="6"/>
  <c r="Q9" i="6"/>
  <c r="P9" i="6"/>
  <c r="O9" i="6"/>
  <c r="N9" i="6"/>
  <c r="M9" i="6"/>
  <c r="L9" i="6"/>
  <c r="T8" i="6"/>
  <c r="S8" i="6"/>
  <c r="R8" i="6"/>
  <c r="Q8" i="6"/>
  <c r="P8" i="6"/>
  <c r="O8" i="6"/>
  <c r="N8" i="6"/>
  <c r="M8" i="6"/>
  <c r="L8" i="6"/>
  <c r="T7" i="6"/>
  <c r="S7" i="6"/>
  <c r="R7" i="6"/>
  <c r="Q7" i="6"/>
  <c r="P7" i="6"/>
  <c r="O7" i="6"/>
  <c r="N7" i="6"/>
  <c r="M7" i="6"/>
  <c r="L7" i="6"/>
  <c r="T6" i="6"/>
  <c r="S6" i="6"/>
  <c r="R6" i="6"/>
  <c r="Q6" i="6"/>
  <c r="P6" i="6"/>
  <c r="O6" i="6"/>
  <c r="N6" i="6"/>
  <c r="M6" i="6"/>
  <c r="L6" i="6"/>
  <c r="T5" i="6"/>
  <c r="S5" i="6"/>
  <c r="R5" i="6"/>
  <c r="Q5" i="6"/>
  <c r="P5" i="6"/>
  <c r="N5" i="6"/>
  <c r="L5" i="6"/>
  <c r="J5" i="6"/>
  <c r="I15" i="8" s="1"/>
  <c r="I5" i="6"/>
  <c r="H15" i="8" s="1"/>
  <c r="H5" i="6"/>
  <c r="H11" i="6" s="1"/>
  <c r="G5" i="6"/>
  <c r="G11" i="6" s="1"/>
  <c r="G13" i="6" s="1"/>
  <c r="F5" i="6"/>
  <c r="E5" i="6"/>
  <c r="O5" i="6" s="1"/>
  <c r="D5" i="6"/>
  <c r="E15" i="8" s="1"/>
  <c r="C5" i="6"/>
  <c r="M5" i="6" s="1"/>
  <c r="B5" i="6"/>
  <c r="T4" i="6"/>
  <c r="S4" i="6"/>
  <c r="R4" i="6"/>
  <c r="Q4" i="6"/>
  <c r="P4" i="6"/>
  <c r="O4" i="6"/>
  <c r="N4" i="6"/>
  <c r="M4" i="6"/>
  <c r="L4" i="6"/>
  <c r="T3" i="6"/>
  <c r="S3" i="6"/>
  <c r="R3" i="6"/>
  <c r="Q3" i="6"/>
  <c r="P3" i="6"/>
  <c r="O3" i="6"/>
  <c r="N3" i="6"/>
  <c r="M3" i="6"/>
  <c r="L3" i="6"/>
  <c r="P97" i="5"/>
  <c r="O97" i="5"/>
  <c r="N97" i="5"/>
  <c r="P96" i="5"/>
  <c r="O96" i="5"/>
  <c r="N96" i="5"/>
  <c r="M96" i="5"/>
  <c r="L96" i="5"/>
  <c r="P95" i="5"/>
  <c r="O95" i="5"/>
  <c r="N95" i="5"/>
  <c r="M95" i="5"/>
  <c r="L95" i="5"/>
  <c r="P94" i="5"/>
  <c r="O94" i="5"/>
  <c r="N94" i="5"/>
  <c r="M94" i="5"/>
  <c r="L94" i="5"/>
  <c r="P93" i="5"/>
  <c r="O93" i="5"/>
  <c r="N93" i="5"/>
  <c r="M93" i="5"/>
  <c r="L93" i="5"/>
  <c r="P92" i="5"/>
  <c r="O92" i="5"/>
  <c r="N92" i="5"/>
  <c r="M92" i="5"/>
  <c r="L92" i="5"/>
  <c r="P91" i="5"/>
  <c r="O91" i="5"/>
  <c r="N91" i="5"/>
  <c r="M91" i="5"/>
  <c r="L91" i="5"/>
  <c r="P90" i="5"/>
  <c r="O90" i="5"/>
  <c r="N90" i="5"/>
  <c r="M90" i="5"/>
  <c r="L90" i="5"/>
  <c r="N88" i="5"/>
  <c r="M88" i="5"/>
  <c r="P87" i="5"/>
  <c r="O87" i="5"/>
  <c r="N87" i="5"/>
  <c r="M87" i="5"/>
  <c r="L87" i="5"/>
  <c r="P86" i="5"/>
  <c r="O86" i="5"/>
  <c r="N86" i="5"/>
  <c r="M86" i="5"/>
  <c r="L86" i="5"/>
  <c r="P85" i="5"/>
  <c r="O85" i="5"/>
  <c r="N85" i="5"/>
  <c r="M85" i="5"/>
  <c r="L85" i="5"/>
  <c r="P84" i="5"/>
  <c r="O84" i="5"/>
  <c r="P83" i="5"/>
  <c r="O83" i="5"/>
  <c r="N83" i="5"/>
  <c r="M83" i="5"/>
  <c r="L83" i="5"/>
  <c r="P82" i="5"/>
  <c r="O82" i="5"/>
  <c r="N82" i="5"/>
  <c r="M82" i="5"/>
  <c r="L82" i="5"/>
  <c r="P81" i="5"/>
  <c r="O81" i="5"/>
  <c r="N81" i="5"/>
  <c r="M81" i="5"/>
  <c r="L81" i="5"/>
  <c r="P80" i="5"/>
  <c r="O80" i="5"/>
  <c r="N80" i="5"/>
  <c r="M80" i="5"/>
  <c r="L80" i="5"/>
  <c r="P79" i="5"/>
  <c r="O79" i="5"/>
  <c r="N79" i="5"/>
  <c r="M79" i="5"/>
  <c r="L79" i="5"/>
  <c r="P78" i="5"/>
  <c r="O78" i="5"/>
  <c r="N78" i="5"/>
  <c r="M78" i="5"/>
  <c r="L78" i="5"/>
  <c r="P77" i="5"/>
  <c r="O77" i="5"/>
  <c r="N77" i="5"/>
  <c r="M77" i="5"/>
  <c r="L77" i="5"/>
  <c r="P76" i="5"/>
  <c r="O76" i="5"/>
  <c r="N76" i="5"/>
  <c r="M76" i="5"/>
  <c r="L76" i="5"/>
  <c r="P75" i="5"/>
  <c r="O75" i="5"/>
  <c r="N75" i="5"/>
  <c r="M75" i="5"/>
  <c r="L75" i="5"/>
  <c r="M73" i="5"/>
  <c r="P72" i="5"/>
  <c r="O72" i="5"/>
  <c r="N72" i="5"/>
  <c r="M72" i="5"/>
  <c r="L72" i="5"/>
  <c r="P71" i="5"/>
  <c r="O71" i="5"/>
  <c r="N71" i="5"/>
  <c r="M71" i="5"/>
  <c r="L71" i="5"/>
  <c r="P70" i="5"/>
  <c r="O70" i="5"/>
  <c r="N70" i="5"/>
  <c r="M70" i="5"/>
  <c r="L70" i="5"/>
  <c r="P69" i="5"/>
  <c r="O69" i="5"/>
  <c r="N69" i="5"/>
  <c r="M69" i="5"/>
  <c r="L69" i="5"/>
  <c r="P68" i="5"/>
  <c r="O68" i="5"/>
  <c r="N68" i="5"/>
  <c r="M68" i="5"/>
  <c r="L68" i="5"/>
  <c r="P67" i="5"/>
  <c r="O67" i="5"/>
  <c r="N67" i="5"/>
  <c r="M67" i="5"/>
  <c r="L67" i="5"/>
  <c r="L66" i="5"/>
  <c r="P65" i="5"/>
  <c r="O65" i="5"/>
  <c r="N65" i="5"/>
  <c r="M65" i="5"/>
  <c r="L65" i="5"/>
  <c r="P64" i="5"/>
  <c r="O64" i="5"/>
  <c r="N64" i="5"/>
  <c r="M64" i="5"/>
  <c r="L64" i="5"/>
  <c r="P63" i="5"/>
  <c r="O63" i="5"/>
  <c r="N63" i="5"/>
  <c r="M63" i="5"/>
  <c r="L63" i="5"/>
  <c r="P62" i="5"/>
  <c r="O62" i="5"/>
  <c r="N62" i="5"/>
  <c r="M62" i="5"/>
  <c r="L62" i="5"/>
  <c r="P61" i="5"/>
  <c r="O61" i="5"/>
  <c r="N61" i="5"/>
  <c r="M61" i="5"/>
  <c r="L61" i="5"/>
  <c r="P60" i="5"/>
  <c r="O60" i="5"/>
  <c r="N60" i="5"/>
  <c r="M60" i="5"/>
  <c r="L60" i="5"/>
  <c r="P59" i="5"/>
  <c r="O59" i="5"/>
  <c r="N59" i="5"/>
  <c r="M59" i="5"/>
  <c r="L59" i="5"/>
  <c r="P58" i="5"/>
  <c r="O58" i="5"/>
  <c r="N58" i="5"/>
  <c r="M58" i="5"/>
  <c r="L58" i="5"/>
  <c r="P50" i="5"/>
  <c r="M50" i="5"/>
  <c r="J50" i="5"/>
  <c r="I10" i="8" s="1"/>
  <c r="I50" i="5"/>
  <c r="H50" i="5"/>
  <c r="R50" i="5" s="1"/>
  <c r="G50" i="5"/>
  <c r="F50" i="5"/>
  <c r="F10" i="8" s="1"/>
  <c r="E50" i="5"/>
  <c r="O50" i="5" s="1"/>
  <c r="D50" i="5"/>
  <c r="C50" i="5"/>
  <c r="B50" i="5"/>
  <c r="P49" i="5"/>
  <c r="O49" i="5"/>
  <c r="M49" i="5"/>
  <c r="P48" i="5"/>
  <c r="O48" i="5"/>
  <c r="T47" i="5"/>
  <c r="P47" i="5"/>
  <c r="O47" i="5"/>
  <c r="P46" i="5"/>
  <c r="T44" i="5"/>
  <c r="O44" i="5"/>
  <c r="P43" i="5"/>
  <c r="O43" i="5"/>
  <c r="M43" i="5"/>
  <c r="M41" i="5"/>
  <c r="E41" i="5"/>
  <c r="D41" i="5"/>
  <c r="C41" i="5"/>
  <c r="C51" i="5" s="1"/>
  <c r="M51" i="5" s="1"/>
  <c r="P40" i="5"/>
  <c r="J40" i="5"/>
  <c r="I40" i="5"/>
  <c r="H40" i="5"/>
  <c r="O88" i="5" s="1"/>
  <c r="G40" i="5"/>
  <c r="F40" i="5"/>
  <c r="E40" i="5"/>
  <c r="D40" i="5"/>
  <c r="C40" i="5"/>
  <c r="M40" i="5" s="1"/>
  <c r="B40" i="5"/>
  <c r="L88" i="5" s="1"/>
  <c r="P39" i="5"/>
  <c r="T37" i="5"/>
  <c r="O37" i="5"/>
  <c r="P35" i="5"/>
  <c r="M35" i="5"/>
  <c r="J35" i="5"/>
  <c r="I35" i="5"/>
  <c r="H6" i="8" s="1"/>
  <c r="H35" i="5"/>
  <c r="G6" i="8" s="1"/>
  <c r="G35" i="5"/>
  <c r="F35" i="5"/>
  <c r="E35" i="5"/>
  <c r="O35" i="5" s="1"/>
  <c r="D35" i="5"/>
  <c r="C35" i="5"/>
  <c r="B35" i="5"/>
  <c r="P34" i="5"/>
  <c r="O34" i="5"/>
  <c r="M34" i="5"/>
  <c r="P33" i="5"/>
  <c r="O33" i="5"/>
  <c r="T32" i="5"/>
  <c r="P32" i="5"/>
  <c r="O32" i="5"/>
  <c r="P31" i="5"/>
  <c r="M31" i="5"/>
  <c r="T29" i="5"/>
  <c r="O29" i="5"/>
  <c r="P27" i="5"/>
  <c r="O27" i="5"/>
  <c r="M27" i="5"/>
  <c r="P26" i="5"/>
  <c r="O26" i="5"/>
  <c r="M26" i="5"/>
  <c r="P25" i="5"/>
  <c r="O25" i="5"/>
  <c r="M25" i="5"/>
  <c r="P22" i="5"/>
  <c r="O22" i="5"/>
  <c r="J22" i="5"/>
  <c r="T46" i="5" s="1"/>
  <c r="H22" i="5"/>
  <c r="R46" i="5" s="1"/>
  <c r="F22" i="5"/>
  <c r="E22" i="5"/>
  <c r="O40" i="5" s="1"/>
  <c r="T21" i="5"/>
  <c r="P21" i="5"/>
  <c r="J21" i="5"/>
  <c r="I21" i="5"/>
  <c r="H21" i="5"/>
  <c r="G21" i="5"/>
  <c r="N73" i="5" s="1"/>
  <c r="F21" i="5"/>
  <c r="E21" i="5"/>
  <c r="O21" i="5" s="1"/>
  <c r="D21" i="5"/>
  <c r="C21" i="5"/>
  <c r="M21" i="5" s="1"/>
  <c r="B21" i="5"/>
  <c r="L73" i="5" s="1"/>
  <c r="T20" i="5"/>
  <c r="O20" i="5"/>
  <c r="P19" i="5"/>
  <c r="O19" i="5"/>
  <c r="M19" i="5"/>
  <c r="P18" i="5"/>
  <c r="O18" i="5"/>
  <c r="M18" i="5"/>
  <c r="P17" i="5"/>
  <c r="O17" i="5"/>
  <c r="M17" i="5"/>
  <c r="P16" i="5"/>
  <c r="O16" i="5"/>
  <c r="T15" i="5"/>
  <c r="R15" i="5"/>
  <c r="P15" i="5"/>
  <c r="O15" i="5"/>
  <c r="T13" i="5"/>
  <c r="P13" i="5"/>
  <c r="J13" i="5"/>
  <c r="I13" i="5"/>
  <c r="H13" i="5"/>
  <c r="R13" i="5" s="1"/>
  <c r="G13" i="5"/>
  <c r="N66" i="5" s="1"/>
  <c r="F13" i="5"/>
  <c r="E13" i="5"/>
  <c r="O13" i="5" s="1"/>
  <c r="D13" i="5"/>
  <c r="C13" i="5"/>
  <c r="C22" i="5" s="1"/>
  <c r="M46" i="5" s="1"/>
  <c r="B13" i="5"/>
  <c r="T12" i="5"/>
  <c r="O12" i="5"/>
  <c r="P11" i="5"/>
  <c r="O11" i="5"/>
  <c r="M11" i="5"/>
  <c r="P10" i="5"/>
  <c r="O10" i="5"/>
  <c r="M10" i="5"/>
  <c r="P9" i="5"/>
  <c r="O9" i="5"/>
  <c r="M9" i="5"/>
  <c r="P8" i="5"/>
  <c r="O8" i="5"/>
  <c r="T7" i="5"/>
  <c r="R7" i="5"/>
  <c r="P7" i="5"/>
  <c r="O7" i="5"/>
  <c r="T6" i="5"/>
  <c r="P6" i="5"/>
  <c r="M5" i="5"/>
  <c r="H44" i="4"/>
  <c r="G44" i="4"/>
  <c r="F44" i="4"/>
  <c r="E44" i="4"/>
  <c r="D44" i="4"/>
  <c r="H42" i="4"/>
  <c r="E42" i="4"/>
  <c r="H40" i="4"/>
  <c r="G40" i="4"/>
  <c r="F40" i="4"/>
  <c r="E40" i="4"/>
  <c r="D40" i="4"/>
  <c r="I37" i="4"/>
  <c r="H37" i="4"/>
  <c r="G37" i="4"/>
  <c r="F37" i="4"/>
  <c r="E37" i="4"/>
  <c r="D37" i="4"/>
  <c r="I36" i="4"/>
  <c r="H36" i="4"/>
  <c r="I34" i="4"/>
  <c r="H34" i="4"/>
  <c r="G34" i="4"/>
  <c r="F34" i="4"/>
  <c r="E34" i="4"/>
  <c r="D34" i="4"/>
  <c r="I32" i="4"/>
  <c r="E32" i="4"/>
  <c r="I28" i="4"/>
  <c r="H28" i="4"/>
  <c r="G28" i="4"/>
  <c r="F28" i="4"/>
  <c r="E28" i="4"/>
  <c r="D28" i="4"/>
  <c r="I27" i="4"/>
  <c r="H27" i="4"/>
  <c r="G27" i="4"/>
  <c r="F27" i="4"/>
  <c r="E27" i="4"/>
  <c r="D27" i="4"/>
  <c r="I26" i="4"/>
  <c r="H26" i="4"/>
  <c r="G26" i="4"/>
  <c r="F26" i="4"/>
  <c r="E26" i="4"/>
  <c r="D26" i="4"/>
  <c r="I25" i="4"/>
  <c r="H25" i="4"/>
  <c r="G25" i="4"/>
  <c r="F25" i="4"/>
  <c r="E25" i="4"/>
  <c r="D25" i="4"/>
  <c r="I24" i="4"/>
  <c r="H24" i="4"/>
  <c r="G24" i="4"/>
  <c r="F24" i="4"/>
  <c r="E24" i="4"/>
  <c r="D24" i="4"/>
  <c r="E15" i="4"/>
  <c r="G10" i="4"/>
  <c r="E10" i="4"/>
  <c r="D10" i="4"/>
  <c r="E6" i="4"/>
  <c r="D6" i="4"/>
  <c r="F5" i="4"/>
  <c r="P38" i="3"/>
  <c r="O38" i="3"/>
  <c r="N38" i="3"/>
  <c r="M38" i="3"/>
  <c r="L38" i="3"/>
  <c r="O36" i="3"/>
  <c r="P35" i="3"/>
  <c r="O35" i="3"/>
  <c r="N35" i="3"/>
  <c r="M35" i="3"/>
  <c r="L35" i="3"/>
  <c r="P34" i="3"/>
  <c r="O34" i="3"/>
  <c r="N34" i="3"/>
  <c r="M34" i="3"/>
  <c r="L34" i="3"/>
  <c r="M33" i="3"/>
  <c r="P32" i="3"/>
  <c r="O32" i="3"/>
  <c r="N32" i="3"/>
  <c r="M32" i="3"/>
  <c r="L32" i="3"/>
  <c r="O31" i="3"/>
  <c r="M31" i="3"/>
  <c r="T24" i="3"/>
  <c r="R24" i="3"/>
  <c r="Q24" i="3"/>
  <c r="H23" i="3"/>
  <c r="O20" i="3"/>
  <c r="N20" i="3"/>
  <c r="L20" i="3"/>
  <c r="J20" i="3"/>
  <c r="T20" i="3" s="1"/>
  <c r="I20" i="3"/>
  <c r="H20" i="3"/>
  <c r="R20" i="3" s="1"/>
  <c r="G20" i="3"/>
  <c r="Q20" i="3" s="1"/>
  <c r="F20" i="3"/>
  <c r="P20" i="3" s="1"/>
  <c r="E20" i="3"/>
  <c r="M36" i="3" s="1"/>
  <c r="D20" i="3"/>
  <c r="D23" i="3" s="1"/>
  <c r="C20" i="3"/>
  <c r="L36" i="3" s="1"/>
  <c r="B20" i="3"/>
  <c r="R18" i="3"/>
  <c r="Q18" i="3"/>
  <c r="O18" i="3"/>
  <c r="N18" i="3"/>
  <c r="M18" i="3"/>
  <c r="R17" i="3"/>
  <c r="Q17" i="3"/>
  <c r="O17" i="3"/>
  <c r="N17" i="3"/>
  <c r="R15" i="3"/>
  <c r="J15" i="3"/>
  <c r="T15" i="3" s="1"/>
  <c r="I15" i="3"/>
  <c r="P33" i="3" s="1"/>
  <c r="H15" i="3"/>
  <c r="O33" i="3" s="1"/>
  <c r="G15" i="3"/>
  <c r="N33" i="3" s="1"/>
  <c r="F15" i="3"/>
  <c r="P15" i="3" s="1"/>
  <c r="E15" i="3"/>
  <c r="D15" i="3"/>
  <c r="N15" i="3" s="1"/>
  <c r="C15" i="3"/>
  <c r="M15" i="3" s="1"/>
  <c r="B15" i="3"/>
  <c r="T13" i="3"/>
  <c r="R13" i="3"/>
  <c r="Q13" i="3"/>
  <c r="T11" i="3"/>
  <c r="R11" i="3"/>
  <c r="O11" i="3"/>
  <c r="N11" i="3"/>
  <c r="J11" i="3"/>
  <c r="I11" i="3"/>
  <c r="H11" i="3"/>
  <c r="G32" i="4" s="1"/>
  <c r="G11" i="3"/>
  <c r="F11" i="3"/>
  <c r="P24" i="3" s="1"/>
  <c r="E11" i="3"/>
  <c r="D11" i="3"/>
  <c r="N24" i="3" s="1"/>
  <c r="C11" i="3"/>
  <c r="M17" i="3" s="1"/>
  <c r="B11" i="3"/>
  <c r="B23" i="3" s="1"/>
  <c r="P41" i="2"/>
  <c r="N41" i="2"/>
  <c r="P40" i="2"/>
  <c r="O40" i="2"/>
  <c r="N40" i="2"/>
  <c r="M40" i="2"/>
  <c r="L40" i="2"/>
  <c r="P39" i="2"/>
  <c r="O39" i="2"/>
  <c r="N39" i="2"/>
  <c r="M39" i="2"/>
  <c r="L39" i="2"/>
  <c r="P37" i="2"/>
  <c r="O37" i="2"/>
  <c r="N37" i="2"/>
  <c r="M37" i="2"/>
  <c r="L37" i="2"/>
  <c r="P36" i="2"/>
  <c r="O36" i="2"/>
  <c r="N36" i="2"/>
  <c r="M36" i="2"/>
  <c r="L36" i="2"/>
  <c r="P34" i="2"/>
  <c r="O34" i="2"/>
  <c r="N34" i="2"/>
  <c r="M34" i="2"/>
  <c r="L34" i="2"/>
  <c r="P32" i="2"/>
  <c r="O32" i="2"/>
  <c r="N32" i="2"/>
  <c r="M32" i="2"/>
  <c r="L32" i="2"/>
  <c r="P31" i="2"/>
  <c r="O31" i="2"/>
  <c r="N31" i="2"/>
  <c r="M31" i="2"/>
  <c r="L31" i="2"/>
  <c r="P30" i="2"/>
  <c r="O30" i="2"/>
  <c r="N30" i="2"/>
  <c r="M30" i="2"/>
  <c r="L30" i="2"/>
  <c r="P29" i="2"/>
  <c r="O29" i="2"/>
  <c r="N29" i="2"/>
  <c r="M29" i="2"/>
  <c r="L29" i="2"/>
  <c r="P27" i="2"/>
  <c r="O27" i="2"/>
  <c r="N27" i="2"/>
  <c r="M27" i="2"/>
  <c r="L27" i="2"/>
  <c r="P26" i="2"/>
  <c r="O26" i="2"/>
  <c r="N26" i="2"/>
  <c r="M26" i="2"/>
  <c r="L26" i="2"/>
  <c r="T19" i="2"/>
  <c r="Q19" i="2"/>
  <c r="N19" i="2"/>
  <c r="M19" i="2"/>
  <c r="L19" i="2"/>
  <c r="J19" i="2"/>
  <c r="I19" i="2"/>
  <c r="S19" i="2" s="1"/>
  <c r="H19" i="2"/>
  <c r="G19" i="2"/>
  <c r="F19" i="2"/>
  <c r="P19" i="2" s="1"/>
  <c r="E19" i="2"/>
  <c r="O19" i="2" s="1"/>
  <c r="D19" i="2"/>
  <c r="M41" i="2" s="1"/>
  <c r="C19" i="2"/>
  <c r="C20" i="2" s="1"/>
  <c r="B19" i="2"/>
  <c r="L41" i="2" s="1"/>
  <c r="T18" i="2"/>
  <c r="S18" i="2"/>
  <c r="R18" i="2"/>
  <c r="Q18" i="2"/>
  <c r="P18" i="2"/>
  <c r="O18" i="2"/>
  <c r="N18" i="2"/>
  <c r="M18" i="2"/>
  <c r="L18" i="2"/>
  <c r="T17" i="2"/>
  <c r="S17" i="2"/>
  <c r="R17" i="2"/>
  <c r="Q17" i="2"/>
  <c r="P17" i="2"/>
  <c r="O17" i="2"/>
  <c r="N17" i="2"/>
  <c r="M17" i="2"/>
  <c r="L17" i="2"/>
  <c r="D16" i="2"/>
  <c r="C16" i="2"/>
  <c r="M16" i="2" s="1"/>
  <c r="T15" i="2"/>
  <c r="S15" i="2"/>
  <c r="R15" i="2"/>
  <c r="Q15" i="2"/>
  <c r="P15" i="2"/>
  <c r="O15" i="2"/>
  <c r="N15" i="2"/>
  <c r="M15" i="2"/>
  <c r="L15" i="2"/>
  <c r="T14" i="2"/>
  <c r="S14" i="2"/>
  <c r="R14" i="2"/>
  <c r="Q14" i="2"/>
  <c r="P14" i="2"/>
  <c r="O14" i="2"/>
  <c r="N14" i="2"/>
  <c r="M14" i="2"/>
  <c r="L14" i="2"/>
  <c r="I13" i="2"/>
  <c r="T12" i="2"/>
  <c r="S12" i="2"/>
  <c r="R12" i="2"/>
  <c r="Q12" i="2"/>
  <c r="P12" i="2"/>
  <c r="O12" i="2"/>
  <c r="N12" i="2"/>
  <c r="M12" i="2"/>
  <c r="L12" i="2"/>
  <c r="T11" i="2"/>
  <c r="Q11" i="2"/>
  <c r="J11" i="2"/>
  <c r="I11" i="2"/>
  <c r="H17" i="4" s="1"/>
  <c r="G11" i="2"/>
  <c r="D11" i="2"/>
  <c r="C11" i="2"/>
  <c r="C13" i="2" s="1"/>
  <c r="M13" i="2" s="1"/>
  <c r="T10" i="2"/>
  <c r="S10" i="2"/>
  <c r="R10" i="2"/>
  <c r="Q10" i="2"/>
  <c r="P10" i="2"/>
  <c r="O10" i="2"/>
  <c r="N10" i="2"/>
  <c r="M10" i="2"/>
  <c r="L10" i="2"/>
  <c r="T9" i="2"/>
  <c r="S9" i="2"/>
  <c r="R9" i="2"/>
  <c r="Q9" i="2"/>
  <c r="P9" i="2"/>
  <c r="O9" i="2"/>
  <c r="N9" i="2"/>
  <c r="M9" i="2"/>
  <c r="L9" i="2"/>
  <c r="T8" i="2"/>
  <c r="S8" i="2"/>
  <c r="R8" i="2"/>
  <c r="Q8" i="2"/>
  <c r="P8" i="2"/>
  <c r="O8" i="2"/>
  <c r="N8" i="2"/>
  <c r="M8" i="2"/>
  <c r="L8" i="2"/>
  <c r="T7" i="2"/>
  <c r="S7" i="2"/>
  <c r="R7" i="2"/>
  <c r="Q7" i="2"/>
  <c r="P7" i="2"/>
  <c r="O7" i="2"/>
  <c r="N7" i="2"/>
  <c r="M7" i="2"/>
  <c r="L7" i="2"/>
  <c r="R6" i="2"/>
  <c r="M6" i="2"/>
  <c r="J6" i="2"/>
  <c r="I6" i="2"/>
  <c r="H15" i="4" s="1"/>
  <c r="H6" i="2"/>
  <c r="G6" i="2"/>
  <c r="Q6" i="2" s="1"/>
  <c r="F6" i="2"/>
  <c r="F15" i="4" s="1"/>
  <c r="E6" i="2"/>
  <c r="E11" i="2" s="1"/>
  <c r="D6" i="2"/>
  <c r="C6" i="2"/>
  <c r="B6" i="2"/>
  <c r="T5" i="2"/>
  <c r="S5" i="2"/>
  <c r="R5" i="2"/>
  <c r="Q5" i="2"/>
  <c r="P5" i="2"/>
  <c r="O5" i="2"/>
  <c r="N5" i="2"/>
  <c r="M5" i="2"/>
  <c r="L5" i="2"/>
  <c r="T4" i="2"/>
  <c r="S4" i="2"/>
  <c r="R4" i="2"/>
  <c r="Q4" i="2"/>
  <c r="P4" i="2"/>
  <c r="O4" i="2"/>
  <c r="N4" i="2"/>
  <c r="M4" i="2"/>
  <c r="L4" i="2"/>
  <c r="M60" i="1"/>
  <c r="P59" i="1"/>
  <c r="O59" i="1"/>
  <c r="N59" i="1"/>
  <c r="M59" i="1"/>
  <c r="L59" i="1"/>
  <c r="P58" i="1"/>
  <c r="O58" i="1"/>
  <c r="N58" i="1"/>
  <c r="M58" i="1"/>
  <c r="L58" i="1"/>
  <c r="P56" i="1"/>
  <c r="L56" i="1"/>
  <c r="P55" i="1"/>
  <c r="O55" i="1"/>
  <c r="N55" i="1"/>
  <c r="M55" i="1"/>
  <c r="L55" i="1"/>
  <c r="L54" i="1"/>
  <c r="P53" i="1"/>
  <c r="O53" i="1"/>
  <c r="N53" i="1"/>
  <c r="M53" i="1"/>
  <c r="L53" i="1"/>
  <c r="P52" i="1"/>
  <c r="O52" i="1"/>
  <c r="N52" i="1"/>
  <c r="M52" i="1"/>
  <c r="L52" i="1"/>
  <c r="P50" i="1"/>
  <c r="N50" i="1"/>
  <c r="P49" i="1"/>
  <c r="O49" i="1"/>
  <c r="N49" i="1"/>
  <c r="M49" i="1"/>
  <c r="L49" i="1"/>
  <c r="P48" i="1"/>
  <c r="O48" i="1"/>
  <c r="N48" i="1"/>
  <c r="M48" i="1"/>
  <c r="L48" i="1"/>
  <c r="P47" i="1"/>
  <c r="O47" i="1"/>
  <c r="N47" i="1"/>
  <c r="M47" i="1"/>
  <c r="L47" i="1"/>
  <c r="N46" i="1"/>
  <c r="P45" i="1"/>
  <c r="O45" i="1"/>
  <c r="N45" i="1"/>
  <c r="M45" i="1"/>
  <c r="L45" i="1"/>
  <c r="P44" i="1"/>
  <c r="O44" i="1"/>
  <c r="N44" i="1"/>
  <c r="M44" i="1"/>
  <c r="L44" i="1"/>
  <c r="P43" i="1"/>
  <c r="O43" i="1"/>
  <c r="N43" i="1"/>
  <c r="M43" i="1"/>
  <c r="L43" i="1"/>
  <c r="P42" i="1"/>
  <c r="O42" i="1"/>
  <c r="N42" i="1"/>
  <c r="M42" i="1"/>
  <c r="L42" i="1"/>
  <c r="P41" i="1"/>
  <c r="O41" i="1"/>
  <c r="N41" i="1"/>
  <c r="M41" i="1"/>
  <c r="L41" i="1"/>
  <c r="G34" i="1"/>
  <c r="Q34" i="1" s="1"/>
  <c r="E34" i="1"/>
  <c r="B34" i="1"/>
  <c r="Q33" i="1"/>
  <c r="J33" i="1"/>
  <c r="I10" i="4" s="1"/>
  <c r="I33" i="1"/>
  <c r="H33" i="1"/>
  <c r="G33" i="1"/>
  <c r="F33" i="1"/>
  <c r="E33" i="1"/>
  <c r="D33" i="1"/>
  <c r="E36" i="4" s="1"/>
  <c r="C33" i="1"/>
  <c r="B33" i="1"/>
  <c r="D36" i="4" s="1"/>
  <c r="F40" i="18" s="1"/>
  <c r="Q30" i="1"/>
  <c r="Q29" i="1"/>
  <c r="I27" i="1"/>
  <c r="G27" i="1"/>
  <c r="N57" i="1" s="1"/>
  <c r="B27" i="1"/>
  <c r="P26" i="1"/>
  <c r="J26" i="1"/>
  <c r="I26" i="1"/>
  <c r="O56" i="1" s="1"/>
  <c r="H26" i="1"/>
  <c r="G26" i="1"/>
  <c r="F26" i="1"/>
  <c r="E26" i="1"/>
  <c r="D26" i="1"/>
  <c r="C26" i="1"/>
  <c r="C27" i="1" s="1"/>
  <c r="B26" i="1"/>
  <c r="Q24" i="1"/>
  <c r="Q22" i="1"/>
  <c r="M22" i="1"/>
  <c r="J22" i="1"/>
  <c r="I6" i="4" s="1"/>
  <c r="I22" i="1"/>
  <c r="H22" i="1"/>
  <c r="G22" i="1"/>
  <c r="N54" i="1" s="1"/>
  <c r="F22" i="1"/>
  <c r="F27" i="1" s="1"/>
  <c r="E22" i="1"/>
  <c r="E27" i="1" s="1"/>
  <c r="D22" i="1"/>
  <c r="C22" i="1"/>
  <c r="B22" i="1"/>
  <c r="M20" i="1"/>
  <c r="M16" i="1"/>
  <c r="D16" i="1"/>
  <c r="N30" i="1" s="1"/>
  <c r="C16" i="1"/>
  <c r="Q15" i="1"/>
  <c r="M15" i="1"/>
  <c r="J15" i="1"/>
  <c r="I15" i="1"/>
  <c r="H15" i="1"/>
  <c r="G15" i="1"/>
  <c r="F15" i="1"/>
  <c r="F16" i="1" s="1"/>
  <c r="E15" i="1"/>
  <c r="D15" i="1"/>
  <c r="M50" i="1" s="1"/>
  <c r="C15" i="1"/>
  <c r="B15" i="1"/>
  <c r="N13" i="1"/>
  <c r="M12" i="1"/>
  <c r="M10" i="1"/>
  <c r="J10" i="1"/>
  <c r="I10" i="1"/>
  <c r="H10" i="1"/>
  <c r="G10" i="1"/>
  <c r="G16" i="1" s="1"/>
  <c r="Q9" i="1" s="1"/>
  <c r="F10" i="1"/>
  <c r="F4" i="4" s="1"/>
  <c r="E10" i="1"/>
  <c r="D10" i="1"/>
  <c r="C10" i="1"/>
  <c r="B10" i="1"/>
  <c r="Q8" i="1"/>
  <c r="Q7" i="1"/>
  <c r="P7" i="1"/>
  <c r="Q6" i="1"/>
  <c r="P6" i="1"/>
  <c r="N6" i="1"/>
  <c r="Q5" i="1"/>
  <c r="M5" i="1"/>
  <c r="I45" i="18"/>
  <c r="G45" i="18"/>
  <c r="F45" i="18"/>
  <c r="E45" i="18"/>
  <c r="D45" i="18"/>
  <c r="C45" i="18"/>
  <c r="I43" i="18"/>
  <c r="H41" i="18"/>
  <c r="G41" i="18"/>
  <c r="E41" i="18"/>
  <c r="D41" i="18"/>
  <c r="C41" i="18"/>
  <c r="G40" i="18"/>
  <c r="I38" i="18"/>
  <c r="H38" i="18"/>
  <c r="G38" i="18"/>
  <c r="F38" i="18"/>
  <c r="E38" i="18"/>
  <c r="D38" i="18"/>
  <c r="C38" i="18"/>
  <c r="B38" i="18" s="1"/>
  <c r="I37" i="18"/>
  <c r="H37" i="18"/>
  <c r="G37" i="18"/>
  <c r="F37" i="18"/>
  <c r="E37" i="18"/>
  <c r="D37" i="18"/>
  <c r="C37" i="18"/>
  <c r="I32" i="18"/>
  <c r="H32" i="18"/>
  <c r="G32" i="18"/>
  <c r="F32" i="18"/>
  <c r="E32" i="18"/>
  <c r="D32" i="18"/>
  <c r="C32" i="18"/>
  <c r="B32" i="18" s="1"/>
  <c r="I31" i="18"/>
  <c r="H31" i="18"/>
  <c r="G31" i="18"/>
  <c r="F31" i="18"/>
  <c r="E31" i="18"/>
  <c r="D31" i="18"/>
  <c r="C31" i="18"/>
  <c r="B31" i="18" s="1"/>
  <c r="I29" i="18"/>
  <c r="H29" i="18"/>
  <c r="G29" i="18"/>
  <c r="E29" i="18"/>
  <c r="D29" i="18"/>
  <c r="C29" i="18"/>
  <c r="D19" i="18"/>
  <c r="I13" i="18"/>
  <c r="H13" i="18"/>
  <c r="G13" i="18"/>
  <c r="F13" i="18"/>
  <c r="E13" i="18"/>
  <c r="D13" i="18"/>
  <c r="C13" i="18"/>
  <c r="I12" i="18"/>
  <c r="H12" i="18"/>
  <c r="G12" i="18"/>
  <c r="F12" i="18"/>
  <c r="E12" i="18"/>
  <c r="D12" i="18"/>
  <c r="C12" i="18"/>
  <c r="B12" i="18" s="1"/>
  <c r="I11" i="18"/>
  <c r="H11" i="18"/>
  <c r="G11" i="18"/>
  <c r="F11" i="18"/>
  <c r="E11" i="18"/>
  <c r="D11" i="18"/>
  <c r="C11" i="18"/>
  <c r="B11" i="18" s="1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B13" i="18" l="1"/>
  <c r="B10" i="18"/>
  <c r="B9" i="18"/>
  <c r="G41" i="26"/>
  <c r="B45" i="18"/>
  <c r="I41" i="18"/>
  <c r="B37" i="18"/>
  <c r="C34" i="1"/>
  <c r="M34" i="1" s="1"/>
  <c r="M27" i="1"/>
  <c r="O34" i="1"/>
  <c r="N9" i="1"/>
  <c r="N14" i="1"/>
  <c r="M30" i="1"/>
  <c r="M13" i="1"/>
  <c r="M14" i="1"/>
  <c r="M9" i="1"/>
  <c r="M8" i="1"/>
  <c r="M6" i="1"/>
  <c r="M19" i="1"/>
  <c r="E16" i="2"/>
  <c r="E13" i="2"/>
  <c r="O13" i="2" s="1"/>
  <c r="S13" i="2"/>
  <c r="H31" i="4"/>
  <c r="H16" i="4"/>
  <c r="H43" i="4"/>
  <c r="H11" i="4"/>
  <c r="D20" i="2"/>
  <c r="M38" i="2"/>
  <c r="M20" i="2"/>
  <c r="C21" i="2"/>
  <c r="M33" i="2"/>
  <c r="G4" i="4"/>
  <c r="O46" i="1"/>
  <c r="G5" i="4"/>
  <c r="O50" i="1"/>
  <c r="N29" i="1"/>
  <c r="N20" i="1"/>
  <c r="N12" i="1"/>
  <c r="N7" i="1"/>
  <c r="E13" i="4"/>
  <c r="N5" i="1"/>
  <c r="N19" i="1"/>
  <c r="H9" i="4"/>
  <c r="I34" i="1"/>
  <c r="G36" i="4"/>
  <c r="O60" i="1"/>
  <c r="J13" i="2"/>
  <c r="I12" i="4"/>
  <c r="J16" i="2"/>
  <c r="I17" i="4"/>
  <c r="Q13" i="6"/>
  <c r="N41" i="6"/>
  <c r="B20" i="6"/>
  <c r="L16" i="6"/>
  <c r="L24" i="7"/>
  <c r="B27" i="7"/>
  <c r="H16" i="1"/>
  <c r="R33" i="1" s="1"/>
  <c r="D27" i="1"/>
  <c r="N22" i="1"/>
  <c r="O11" i="2"/>
  <c r="E23" i="4"/>
  <c r="O73" i="5"/>
  <c r="N8" i="1"/>
  <c r="D5" i="4"/>
  <c r="L46" i="1"/>
  <c r="D4" i="4"/>
  <c r="B16" i="1"/>
  <c r="L10" i="1"/>
  <c r="I5" i="4"/>
  <c r="I4" i="4"/>
  <c r="L15" i="1"/>
  <c r="L50" i="1"/>
  <c r="J16" i="1"/>
  <c r="T26" i="1" s="1"/>
  <c r="O27" i="1"/>
  <c r="M56" i="1"/>
  <c r="N26" i="1"/>
  <c r="M26" i="1"/>
  <c r="Q27" i="1"/>
  <c r="G15" i="4"/>
  <c r="H11" i="2"/>
  <c r="O28" i="2"/>
  <c r="N16" i="2"/>
  <c r="P73" i="5"/>
  <c r="O41" i="5"/>
  <c r="E51" i="5"/>
  <c r="O51" i="5" s="1"/>
  <c r="O26" i="1"/>
  <c r="L60" i="1"/>
  <c r="M33" i="1"/>
  <c r="D25" i="3"/>
  <c r="N23" i="3"/>
  <c r="M7" i="1"/>
  <c r="M46" i="1"/>
  <c r="E5" i="4"/>
  <c r="N10" i="1"/>
  <c r="N15" i="1"/>
  <c r="N16" i="1"/>
  <c r="M24" i="1"/>
  <c r="M29" i="1"/>
  <c r="M54" i="1"/>
  <c r="L6" i="2"/>
  <c r="L28" i="2"/>
  <c r="B11" i="2"/>
  <c r="D15" i="4"/>
  <c r="I15" i="4"/>
  <c r="T6" i="2"/>
  <c r="P28" i="2"/>
  <c r="R19" i="2"/>
  <c r="O41" i="2"/>
  <c r="E4" i="4"/>
  <c r="H4" i="8"/>
  <c r="H5" i="8"/>
  <c r="P66" i="5"/>
  <c r="I22" i="5"/>
  <c r="O74" i="5" s="1"/>
  <c r="O10" i="1"/>
  <c r="E16" i="1"/>
  <c r="O15" i="1" s="1"/>
  <c r="N24" i="1"/>
  <c r="Q26" i="1"/>
  <c r="N56" i="1"/>
  <c r="L57" i="1"/>
  <c r="E17" i="4"/>
  <c r="E12" i="4"/>
  <c r="N11" i="2"/>
  <c r="D13" i="2"/>
  <c r="P35" i="2"/>
  <c r="S18" i="3"/>
  <c r="S20" i="3"/>
  <c r="P31" i="3"/>
  <c r="I23" i="3"/>
  <c r="O37" i="3" s="1"/>
  <c r="S24" i="3"/>
  <c r="S11" i="3"/>
  <c r="S13" i="3"/>
  <c r="H32" i="4"/>
  <c r="S17" i="3"/>
  <c r="R23" i="3"/>
  <c r="H25" i="3"/>
  <c r="N36" i="3"/>
  <c r="G42" i="4"/>
  <c r="T10" i="1"/>
  <c r="N51" i="1"/>
  <c r="P16" i="1"/>
  <c r="F23" i="4"/>
  <c r="F13" i="4"/>
  <c r="P30" i="1"/>
  <c r="P29" i="1"/>
  <c r="P24" i="1"/>
  <c r="P20" i="1"/>
  <c r="P19" i="1"/>
  <c r="P14" i="1"/>
  <c r="P13" i="1"/>
  <c r="P12" i="1"/>
  <c r="P10" i="1"/>
  <c r="P9" i="1"/>
  <c r="P8" i="1"/>
  <c r="P5" i="1"/>
  <c r="F8" i="4"/>
  <c r="H6" i="4"/>
  <c r="P54" i="1"/>
  <c r="F36" i="4"/>
  <c r="F10" i="4"/>
  <c r="N60" i="1"/>
  <c r="F34" i="1"/>
  <c r="P33" i="1"/>
  <c r="L61" i="1"/>
  <c r="O6" i="2"/>
  <c r="G16" i="2"/>
  <c r="G13" i="2"/>
  <c r="Q13" i="2" s="1"/>
  <c r="L23" i="3"/>
  <c r="B25" i="3"/>
  <c r="L15" i="3"/>
  <c r="L33" i="3"/>
  <c r="H5" i="4"/>
  <c r="I16" i="1"/>
  <c r="O54" i="1"/>
  <c r="R22" i="1"/>
  <c r="H27" i="1"/>
  <c r="P46" i="1"/>
  <c r="S6" i="2"/>
  <c r="F11" i="2"/>
  <c r="N28" i="2"/>
  <c r="O24" i="3"/>
  <c r="O13" i="3"/>
  <c r="Q15" i="3"/>
  <c r="R8" i="5"/>
  <c r="R16" i="5"/>
  <c r="G22" i="5"/>
  <c r="R22" i="5"/>
  <c r="R31" i="5"/>
  <c r="E6" i="8"/>
  <c r="M84" i="5"/>
  <c r="R39" i="5"/>
  <c r="R40" i="5"/>
  <c r="E35" i="8"/>
  <c r="E10" i="8"/>
  <c r="M97" i="5"/>
  <c r="D51" i="5"/>
  <c r="H17" i="8"/>
  <c r="H12" i="8"/>
  <c r="I16" i="6"/>
  <c r="F30" i="8"/>
  <c r="F16" i="8"/>
  <c r="F11" i="8"/>
  <c r="F20" i="8"/>
  <c r="F34" i="8"/>
  <c r="F19" i="8"/>
  <c r="P23" i="6"/>
  <c r="F29" i="8"/>
  <c r="F18" i="8"/>
  <c r="G31" i="8"/>
  <c r="O34" i="7"/>
  <c r="R26" i="7"/>
  <c r="R21" i="7"/>
  <c r="H24" i="7"/>
  <c r="R17" i="7"/>
  <c r="R9" i="7"/>
  <c r="R16" i="7"/>
  <c r="R8" i="7"/>
  <c r="R25" i="7"/>
  <c r="R15" i="7"/>
  <c r="R7" i="7"/>
  <c r="R12" i="7"/>
  <c r="R4" i="7"/>
  <c r="R23" i="7"/>
  <c r="R22" i="7"/>
  <c r="R10" i="7"/>
  <c r="M10" i="7"/>
  <c r="L12" i="7"/>
  <c r="L47" i="7"/>
  <c r="E9" i="8"/>
  <c r="F32" i="12"/>
  <c r="F10" i="12"/>
  <c r="F40" i="12"/>
  <c r="N114" i="9"/>
  <c r="P60" i="9"/>
  <c r="P13" i="3"/>
  <c r="F32" i="4"/>
  <c r="F23" i="3"/>
  <c r="P11" i="3"/>
  <c r="C23" i="3"/>
  <c r="L37" i="3" s="1"/>
  <c r="G22" i="8"/>
  <c r="R43" i="5"/>
  <c r="R27" i="5"/>
  <c r="R19" i="5"/>
  <c r="R11" i="5"/>
  <c r="R26" i="5"/>
  <c r="R18" i="5"/>
  <c r="R10" i="5"/>
  <c r="G13" i="8"/>
  <c r="R30" i="5"/>
  <c r="R38" i="5"/>
  <c r="R45" i="5"/>
  <c r="I17" i="8"/>
  <c r="I12" i="8"/>
  <c r="J13" i="6"/>
  <c r="I27" i="7"/>
  <c r="S24" i="7"/>
  <c r="N24" i="7"/>
  <c r="D27" i="7"/>
  <c r="D11" i="10"/>
  <c r="M38" i="10"/>
  <c r="E14" i="12"/>
  <c r="N6" i="10"/>
  <c r="F41" i="18"/>
  <c r="B41" i="18" s="1"/>
  <c r="L22" i="1"/>
  <c r="T22" i="1"/>
  <c r="J27" i="1"/>
  <c r="S33" i="1"/>
  <c r="H10" i="4"/>
  <c r="P60" i="1"/>
  <c r="P33" i="2"/>
  <c r="G23" i="3"/>
  <c r="S15" i="3"/>
  <c r="M20" i="3"/>
  <c r="D42" i="4"/>
  <c r="F43" i="18" s="1"/>
  <c r="R6" i="5"/>
  <c r="R12" i="5"/>
  <c r="R20" i="5"/>
  <c r="R21" i="5"/>
  <c r="R29" i="5"/>
  <c r="T31" i="5"/>
  <c r="F6" i="8"/>
  <c r="F5" i="8"/>
  <c r="N84" i="5"/>
  <c r="R37" i="5"/>
  <c r="T39" i="5"/>
  <c r="P88" i="5"/>
  <c r="I41" i="5"/>
  <c r="R44" i="5"/>
  <c r="L11" i="6"/>
  <c r="G30" i="8"/>
  <c r="G16" i="8"/>
  <c r="G11" i="8"/>
  <c r="O41" i="6"/>
  <c r="L26" i="7"/>
  <c r="L15" i="7"/>
  <c r="L7" i="7"/>
  <c r="L14" i="7"/>
  <c r="L6" i="7"/>
  <c r="L5" i="7"/>
  <c r="D31" i="8"/>
  <c r="L10" i="7"/>
  <c r="L25" i="7"/>
  <c r="L16" i="7"/>
  <c r="L8" i="7"/>
  <c r="I31" i="8"/>
  <c r="T26" i="7"/>
  <c r="T15" i="7"/>
  <c r="T7" i="7"/>
  <c r="T25" i="7"/>
  <c r="T14" i="7"/>
  <c r="T6" i="7"/>
  <c r="T5" i="7"/>
  <c r="T23" i="7"/>
  <c r="T22" i="7"/>
  <c r="T21" i="7"/>
  <c r="T20" i="7"/>
  <c r="T10" i="7"/>
  <c r="T16" i="7"/>
  <c r="T8" i="7"/>
  <c r="F24" i="7"/>
  <c r="P14" i="7"/>
  <c r="N43" i="7"/>
  <c r="R14" i="7"/>
  <c r="L22" i="7"/>
  <c r="J24" i="7"/>
  <c r="L34" i="7"/>
  <c r="F35" i="8"/>
  <c r="L101" i="9"/>
  <c r="M26" i="11"/>
  <c r="M17" i="11"/>
  <c r="M8" i="11"/>
  <c r="M25" i="11"/>
  <c r="M16" i="11"/>
  <c r="M7" i="11"/>
  <c r="M31" i="11"/>
  <c r="M21" i="11"/>
  <c r="M9" i="11"/>
  <c r="M18" i="11"/>
  <c r="M4" i="11"/>
  <c r="M24" i="11"/>
  <c r="M15" i="11"/>
  <c r="M5" i="11"/>
  <c r="M10" i="11"/>
  <c r="M22" i="11"/>
  <c r="C29" i="11"/>
  <c r="M11" i="11"/>
  <c r="M6" i="11"/>
  <c r="M30" i="11"/>
  <c r="M23" i="11"/>
  <c r="M14" i="11"/>
  <c r="D8" i="4"/>
  <c r="L27" i="1"/>
  <c r="M28" i="2"/>
  <c r="N6" i="2"/>
  <c r="S11" i="2"/>
  <c r="E23" i="3"/>
  <c r="N31" i="3"/>
  <c r="F42" i="4"/>
  <c r="R5" i="5"/>
  <c r="O66" i="5"/>
  <c r="G4" i="8"/>
  <c r="I13" i="8"/>
  <c r="I22" i="8"/>
  <c r="T49" i="5"/>
  <c r="T34" i="5"/>
  <c r="T25" i="5"/>
  <c r="T17" i="5"/>
  <c r="T9" i="5"/>
  <c r="T48" i="5"/>
  <c r="T33" i="5"/>
  <c r="T22" i="5"/>
  <c r="T16" i="5"/>
  <c r="T8" i="5"/>
  <c r="T30" i="5"/>
  <c r="Q35" i="5"/>
  <c r="T38" i="5"/>
  <c r="T40" i="5"/>
  <c r="M89" i="5"/>
  <c r="T45" i="5"/>
  <c r="H16" i="8"/>
  <c r="S13" i="6"/>
  <c r="H11" i="8"/>
  <c r="P39" i="6"/>
  <c r="P41" i="6"/>
  <c r="C24" i="7"/>
  <c r="M25" i="7"/>
  <c r="M26" i="7"/>
  <c r="M6" i="7"/>
  <c r="M5" i="7"/>
  <c r="M12" i="7"/>
  <c r="M4" i="7"/>
  <c r="M17" i="7"/>
  <c r="M9" i="7"/>
  <c r="M15" i="7"/>
  <c r="M7" i="7"/>
  <c r="M22" i="7"/>
  <c r="P83" i="9"/>
  <c r="O83" i="9"/>
  <c r="N57" i="10"/>
  <c r="P26" i="10"/>
  <c r="G16" i="6"/>
  <c r="Q11" i="6"/>
  <c r="D12" i="8"/>
  <c r="B13" i="6"/>
  <c r="D20" i="6"/>
  <c r="D4" i="12"/>
  <c r="D5" i="12"/>
  <c r="D6" i="12"/>
  <c r="L96" i="9"/>
  <c r="B46" i="9"/>
  <c r="I5" i="12"/>
  <c r="I6" i="12"/>
  <c r="I4" i="12"/>
  <c r="J46" i="9"/>
  <c r="P52" i="10"/>
  <c r="S21" i="10"/>
  <c r="O22" i="1"/>
  <c r="P6" i="2"/>
  <c r="I16" i="2"/>
  <c r="L31" i="3"/>
  <c r="L18" i="3"/>
  <c r="L17" i="3"/>
  <c r="T18" i="3"/>
  <c r="T17" i="3"/>
  <c r="L13" i="3"/>
  <c r="P18" i="3"/>
  <c r="H4" i="4"/>
  <c r="F6" i="4"/>
  <c r="D9" i="4"/>
  <c r="H12" i="4"/>
  <c r="T5" i="5"/>
  <c r="T11" i="5"/>
  <c r="D5" i="8"/>
  <c r="C5" i="18" s="1"/>
  <c r="D4" i="8"/>
  <c r="I4" i="8"/>
  <c r="I5" i="8"/>
  <c r="T19" i="5"/>
  <c r="B22" i="5"/>
  <c r="L21" i="5" s="1"/>
  <c r="T27" i="5"/>
  <c r="R34" i="5"/>
  <c r="T35" i="5"/>
  <c r="M39" i="5"/>
  <c r="F41" i="5"/>
  <c r="T43" i="5"/>
  <c r="R49" i="5"/>
  <c r="T50" i="5"/>
  <c r="G17" i="8"/>
  <c r="G12" i="8"/>
  <c r="H16" i="6"/>
  <c r="O39" i="6"/>
  <c r="C11" i="6"/>
  <c r="S11" i="6"/>
  <c r="P13" i="6"/>
  <c r="P20" i="6"/>
  <c r="M11" i="7"/>
  <c r="T12" i="7"/>
  <c r="S14" i="7"/>
  <c r="P43" i="7"/>
  <c r="M20" i="7"/>
  <c r="L23" i="7"/>
  <c r="F4" i="8"/>
  <c r="G15" i="8"/>
  <c r="I35" i="8"/>
  <c r="F40" i="8"/>
  <c r="F42" i="8"/>
  <c r="F41" i="8"/>
  <c r="C46" i="9"/>
  <c r="M27" i="11"/>
  <c r="Q10" i="1"/>
  <c r="Q12" i="1"/>
  <c r="Q13" i="1"/>
  <c r="Q14" i="1"/>
  <c r="P15" i="1"/>
  <c r="Q16" i="1"/>
  <c r="Q19" i="1"/>
  <c r="Q20" i="1"/>
  <c r="F9" i="4"/>
  <c r="P22" i="1"/>
  <c r="P27" i="1"/>
  <c r="N33" i="1"/>
  <c r="M11" i="2"/>
  <c r="L11" i="3"/>
  <c r="M13" i="3"/>
  <c r="O15" i="3"/>
  <c r="P17" i="3"/>
  <c r="J23" i="3"/>
  <c r="L24" i="3"/>
  <c r="P36" i="3"/>
  <c r="G6" i="4"/>
  <c r="E41" i="4"/>
  <c r="T10" i="5"/>
  <c r="M48" i="5"/>
  <c r="M33" i="5"/>
  <c r="M22" i="5"/>
  <c r="M16" i="5"/>
  <c r="M8" i="5"/>
  <c r="M47" i="5"/>
  <c r="M32" i="5"/>
  <c r="M15" i="5"/>
  <c r="M7" i="5"/>
  <c r="T18" i="5"/>
  <c r="O46" i="5"/>
  <c r="O39" i="5"/>
  <c r="O31" i="5"/>
  <c r="O6" i="5"/>
  <c r="O45" i="5"/>
  <c r="O38" i="5"/>
  <c r="O30" i="5"/>
  <c r="O5" i="5"/>
  <c r="T26" i="5"/>
  <c r="M30" i="5"/>
  <c r="R33" i="5"/>
  <c r="D6" i="8"/>
  <c r="C6" i="18" s="1"/>
  <c r="B41" i="5"/>
  <c r="L84" i="5"/>
  <c r="J41" i="5"/>
  <c r="I6" i="8"/>
  <c r="M38" i="5"/>
  <c r="G41" i="5"/>
  <c r="M45" i="5"/>
  <c r="R48" i="5"/>
  <c r="D35" i="8"/>
  <c r="C40" i="18" s="1"/>
  <c r="D10" i="8"/>
  <c r="D41" i="8"/>
  <c r="C43" i="18" s="1"/>
  <c r="L97" i="5"/>
  <c r="D13" i="6"/>
  <c r="E12" i="8"/>
  <c r="N11" i="6"/>
  <c r="E17" i="8"/>
  <c r="T11" i="6"/>
  <c r="J16" i="6"/>
  <c r="R11" i="7"/>
  <c r="R20" i="7"/>
  <c r="M23" i="7"/>
  <c r="G5" i="8"/>
  <c r="D17" i="8"/>
  <c r="P75" i="9"/>
  <c r="O75" i="9"/>
  <c r="I24" i="9"/>
  <c r="S23" i="9" s="1"/>
  <c r="M11" i="3"/>
  <c r="N13" i="3"/>
  <c r="M24" i="3"/>
  <c r="D32" i="4"/>
  <c r="M6" i="5"/>
  <c r="R9" i="5"/>
  <c r="M12" i="5"/>
  <c r="E5" i="8"/>
  <c r="D22" i="5"/>
  <c r="M66" i="5"/>
  <c r="E4" i="8"/>
  <c r="M13" i="5"/>
  <c r="R17" i="5"/>
  <c r="M20" i="5"/>
  <c r="F22" i="8"/>
  <c r="P45" i="5"/>
  <c r="P38" i="5"/>
  <c r="P30" i="5"/>
  <c r="P5" i="5"/>
  <c r="N74" i="5"/>
  <c r="P44" i="5"/>
  <c r="P37" i="5"/>
  <c r="P29" i="5"/>
  <c r="P20" i="5"/>
  <c r="P12" i="5"/>
  <c r="R25" i="5"/>
  <c r="M29" i="5"/>
  <c r="R32" i="5"/>
  <c r="L35" i="5"/>
  <c r="M37" i="5"/>
  <c r="H41" i="5"/>
  <c r="M44" i="5"/>
  <c r="R47" i="5"/>
  <c r="L50" i="5"/>
  <c r="D15" i="8"/>
  <c r="L33" i="6"/>
  <c r="P16" i="6"/>
  <c r="N44" i="6"/>
  <c r="R13" i="6"/>
  <c r="M8" i="7"/>
  <c r="T9" i="7"/>
  <c r="T11" i="7"/>
  <c r="M14" i="7"/>
  <c r="M16" i="7"/>
  <c r="T17" i="7"/>
  <c r="P47" i="7"/>
  <c r="S19" i="7"/>
  <c r="L21" i="7"/>
  <c r="Q55" i="9"/>
  <c r="Q31" i="9"/>
  <c r="Q22" i="9"/>
  <c r="Q6" i="9"/>
  <c r="Q54" i="9"/>
  <c r="Q38" i="9"/>
  <c r="Q30" i="9"/>
  <c r="Q21" i="9"/>
  <c r="Q13" i="9"/>
  <c r="Q5" i="9"/>
  <c r="Q53" i="9"/>
  <c r="Q37" i="9"/>
  <c r="Q29" i="9"/>
  <c r="Q20" i="9"/>
  <c r="Q12" i="9"/>
  <c r="Q56" i="9"/>
  <c r="Q32" i="9"/>
  <c r="Q7" i="9"/>
  <c r="Q44" i="9"/>
  <c r="Q36" i="9"/>
  <c r="Q50" i="9"/>
  <c r="Q24" i="9"/>
  <c r="Q18" i="9"/>
  <c r="Q10" i="9"/>
  <c r="Q57" i="9"/>
  <c r="Q42" i="9"/>
  <c r="Q34" i="9"/>
  <c r="Q58" i="9"/>
  <c r="Q51" i="9"/>
  <c r="Q28" i="9"/>
  <c r="Q19" i="9"/>
  <c r="Q11" i="9"/>
  <c r="Q43" i="9"/>
  <c r="Q35" i="9"/>
  <c r="Q52" i="9"/>
  <c r="Q41" i="9"/>
  <c r="Q33" i="9"/>
  <c r="S9" i="7"/>
  <c r="Q11" i="7"/>
  <c r="S17" i="7"/>
  <c r="Q19" i="7"/>
  <c r="Q20" i="7"/>
  <c r="Q21" i="7"/>
  <c r="G10" i="8"/>
  <c r="R7" i="9"/>
  <c r="F21" i="12"/>
  <c r="P56" i="9"/>
  <c r="P32" i="9"/>
  <c r="P7" i="9"/>
  <c r="P55" i="9"/>
  <c r="P31" i="9"/>
  <c r="P22" i="9"/>
  <c r="P6" i="9"/>
  <c r="P54" i="9"/>
  <c r="P38" i="9"/>
  <c r="P30" i="9"/>
  <c r="P21" i="9"/>
  <c r="P13" i="9"/>
  <c r="P5" i="9"/>
  <c r="N84" i="9"/>
  <c r="P57" i="9"/>
  <c r="P49" i="9"/>
  <c r="P41" i="9"/>
  <c r="P33" i="9"/>
  <c r="P16" i="9"/>
  <c r="P8" i="9"/>
  <c r="H6" i="12"/>
  <c r="H5" i="12"/>
  <c r="P96" i="9"/>
  <c r="D46" i="9"/>
  <c r="E9" i="12" s="1"/>
  <c r="I60" i="9"/>
  <c r="I61" i="9" s="1"/>
  <c r="P112" i="9"/>
  <c r="P59" i="9"/>
  <c r="C18" i="10"/>
  <c r="M11" i="10"/>
  <c r="O52" i="10"/>
  <c r="L9" i="11"/>
  <c r="L26" i="11"/>
  <c r="L17" i="11"/>
  <c r="L8" i="11"/>
  <c r="D43" i="12"/>
  <c r="D27" i="12"/>
  <c r="B29" i="11"/>
  <c r="L21" i="11"/>
  <c r="L18" i="11"/>
  <c r="D33" i="12"/>
  <c r="L31" i="11"/>
  <c r="L25" i="11"/>
  <c r="L7" i="11"/>
  <c r="T9" i="11"/>
  <c r="I27" i="12"/>
  <c r="T26" i="11"/>
  <c r="T17" i="11"/>
  <c r="T8" i="11"/>
  <c r="J29" i="11"/>
  <c r="T21" i="11"/>
  <c r="T30" i="11"/>
  <c r="T24" i="11"/>
  <c r="T16" i="11"/>
  <c r="T6" i="11"/>
  <c r="T7" i="11"/>
  <c r="T31" i="11"/>
  <c r="T25" i="11"/>
  <c r="T18" i="11"/>
  <c r="I43" i="12"/>
  <c r="T27" i="11"/>
  <c r="T23" i="11"/>
  <c r="T15" i="11"/>
  <c r="T5" i="11"/>
  <c r="O49" i="11"/>
  <c r="R18" i="11"/>
  <c r="L56" i="11"/>
  <c r="G27" i="12"/>
  <c r="E60" i="17"/>
  <c r="G5" i="16"/>
  <c r="E11" i="17"/>
  <c r="G6" i="16"/>
  <c r="G25" i="13"/>
  <c r="R13" i="13"/>
  <c r="H72" i="17"/>
  <c r="S104" i="13"/>
  <c r="D92" i="17"/>
  <c r="Q32" i="15"/>
  <c r="O66" i="15"/>
  <c r="D91" i="17"/>
  <c r="O57" i="15"/>
  <c r="Q21" i="15"/>
  <c r="F34" i="15"/>
  <c r="H31" i="8"/>
  <c r="S25" i="7"/>
  <c r="S20" i="7"/>
  <c r="S11" i="7"/>
  <c r="T19" i="7"/>
  <c r="Q14" i="9"/>
  <c r="G21" i="12"/>
  <c r="R54" i="9"/>
  <c r="R38" i="9"/>
  <c r="R30" i="9"/>
  <c r="R21" i="9"/>
  <c r="R13" i="9"/>
  <c r="R5" i="9"/>
  <c r="R53" i="9"/>
  <c r="R37" i="9"/>
  <c r="R29" i="9"/>
  <c r="R20" i="9"/>
  <c r="R12" i="9"/>
  <c r="R59" i="9"/>
  <c r="R52" i="9"/>
  <c r="R44" i="9"/>
  <c r="R36" i="9"/>
  <c r="R28" i="9"/>
  <c r="R19" i="9"/>
  <c r="R11" i="9"/>
  <c r="R55" i="9"/>
  <c r="R31" i="9"/>
  <c r="R22" i="9"/>
  <c r="R6" i="9"/>
  <c r="R49" i="9"/>
  <c r="E11" i="10"/>
  <c r="G18" i="10"/>
  <c r="L52" i="10"/>
  <c r="N25" i="11"/>
  <c r="N16" i="11"/>
  <c r="N7" i="11"/>
  <c r="N31" i="11"/>
  <c r="N24" i="11"/>
  <c r="N15" i="11"/>
  <c r="N6" i="11"/>
  <c r="N30" i="11"/>
  <c r="E27" i="12"/>
  <c r="N21" i="11"/>
  <c r="N8" i="11"/>
  <c r="N26" i="11"/>
  <c r="N9" i="11"/>
  <c r="N27" i="11"/>
  <c r="N22" i="11"/>
  <c r="N14" i="11"/>
  <c r="N11" i="11"/>
  <c r="N10" i="11"/>
  <c r="N17" i="11"/>
  <c r="L22" i="11"/>
  <c r="G22" i="17"/>
  <c r="U53" i="13"/>
  <c r="U42" i="13"/>
  <c r="U31" i="13"/>
  <c r="G25" i="17"/>
  <c r="G15" i="17"/>
  <c r="G6" i="17"/>
  <c r="G29" i="17"/>
  <c r="G9" i="17"/>
  <c r="U55" i="13"/>
  <c r="U44" i="13"/>
  <c r="G23" i="17"/>
  <c r="G13" i="17"/>
  <c r="G16" i="17"/>
  <c r="G7" i="17"/>
  <c r="G30" i="17"/>
  <c r="G19" i="17"/>
  <c r="G10" i="17"/>
  <c r="G35" i="17"/>
  <c r="G24" i="17"/>
  <c r="G14" i="17"/>
  <c r="G5" i="17"/>
  <c r="G28" i="17"/>
  <c r="G17" i="17"/>
  <c r="G8" i="17"/>
  <c r="U51" i="13"/>
  <c r="U45" i="13"/>
  <c r="U36" i="13"/>
  <c r="U32" i="13"/>
  <c r="U21" i="13"/>
  <c r="U9" i="13"/>
  <c r="U54" i="13"/>
  <c r="U43" i="13"/>
  <c r="U41" i="13"/>
  <c r="U24" i="13"/>
  <c r="U17" i="13"/>
  <c r="U6" i="13"/>
  <c r="U39" i="13"/>
  <c r="U35" i="13"/>
  <c r="U20" i="13"/>
  <c r="U11" i="13"/>
  <c r="I16" i="16"/>
  <c r="U33" i="13"/>
  <c r="U25" i="13"/>
  <c r="U18" i="13"/>
  <c r="U7" i="13"/>
  <c r="U52" i="13"/>
  <c r="U22" i="13"/>
  <c r="U19" i="13"/>
  <c r="U10" i="13"/>
  <c r="U37" i="13"/>
  <c r="U34" i="13"/>
  <c r="U16" i="13"/>
  <c r="U47" i="13"/>
  <c r="U23" i="13"/>
  <c r="U46" i="13"/>
  <c r="U30" i="13"/>
  <c r="U15" i="13"/>
  <c r="E69" i="17"/>
  <c r="E26" i="17"/>
  <c r="G48" i="13"/>
  <c r="G7" i="16"/>
  <c r="G31" i="17"/>
  <c r="R35" i="9"/>
  <c r="E5" i="12"/>
  <c r="E6" i="12"/>
  <c r="R43" i="9"/>
  <c r="N45" i="9"/>
  <c r="E32" i="12"/>
  <c r="E10" i="12"/>
  <c r="M114" i="9"/>
  <c r="F14" i="12"/>
  <c r="P6" i="10"/>
  <c r="F11" i="10"/>
  <c r="R18" i="10"/>
  <c r="M52" i="10"/>
  <c r="L10" i="11"/>
  <c r="T14" i="11"/>
  <c r="D32" i="11"/>
  <c r="N29" i="11"/>
  <c r="E61" i="9"/>
  <c r="N101" i="9"/>
  <c r="P45" i="9"/>
  <c r="O29" i="11"/>
  <c r="E32" i="11"/>
  <c r="O32" i="11" s="1"/>
  <c r="H4" i="12"/>
  <c r="I33" i="12"/>
  <c r="E43" i="12"/>
  <c r="P21" i="14"/>
  <c r="E57" i="13"/>
  <c r="E11" i="6"/>
  <c r="M39" i="6" s="1"/>
  <c r="S6" i="7"/>
  <c r="Q8" i="7"/>
  <c r="N11" i="7"/>
  <c r="L43" i="7"/>
  <c r="Q16" i="7"/>
  <c r="N20" i="7"/>
  <c r="N21" i="7"/>
  <c r="N22" i="7"/>
  <c r="N23" i="7"/>
  <c r="N34" i="7"/>
  <c r="E41" i="8"/>
  <c r="R8" i="9"/>
  <c r="P10" i="9"/>
  <c r="B24" i="9"/>
  <c r="L58" i="9" s="1"/>
  <c r="J24" i="9"/>
  <c r="R16" i="9"/>
  <c r="P18" i="9"/>
  <c r="P24" i="9"/>
  <c r="S39" i="9"/>
  <c r="Q45" i="9"/>
  <c r="P50" i="9"/>
  <c r="R58" i="9"/>
  <c r="G16" i="12"/>
  <c r="O43" i="10"/>
  <c r="H13" i="10"/>
  <c r="R11" i="10"/>
  <c r="G12" i="12"/>
  <c r="H23" i="10"/>
  <c r="L4" i="11"/>
  <c r="P57" i="11"/>
  <c r="S29" i="11"/>
  <c r="R21" i="14"/>
  <c r="G44" i="16"/>
  <c r="G57" i="13"/>
  <c r="F17" i="8"/>
  <c r="F12" i="8"/>
  <c r="E24" i="7"/>
  <c r="S7" i="7"/>
  <c r="Q9" i="7"/>
  <c r="O11" i="7"/>
  <c r="S15" i="7"/>
  <c r="Q17" i="7"/>
  <c r="O19" i="7"/>
  <c r="O20" i="7"/>
  <c r="O21" i="7"/>
  <c r="O22" i="7"/>
  <c r="O23" i="7"/>
  <c r="G24" i="7"/>
  <c r="P34" i="7"/>
  <c r="C24" i="9"/>
  <c r="M58" i="9" s="1"/>
  <c r="P23" i="9"/>
  <c r="R34" i="9"/>
  <c r="P36" i="9"/>
  <c r="G61" i="9"/>
  <c r="Q61" i="9" s="1"/>
  <c r="Q46" i="9"/>
  <c r="R42" i="9"/>
  <c r="P44" i="9"/>
  <c r="R45" i="9"/>
  <c r="R57" i="9"/>
  <c r="Q60" i="9"/>
  <c r="H16" i="12"/>
  <c r="P43" i="10"/>
  <c r="H12" i="12"/>
  <c r="S11" i="10"/>
  <c r="I18" i="10"/>
  <c r="I13" i="10"/>
  <c r="L38" i="10"/>
  <c r="N5" i="11"/>
  <c r="T11" i="11"/>
  <c r="N49" i="11"/>
  <c r="F27" i="12"/>
  <c r="T22" i="11"/>
  <c r="L44" i="11"/>
  <c r="Q11" i="3"/>
  <c r="R35" i="5"/>
  <c r="P11" i="6"/>
  <c r="N39" i="6"/>
  <c r="F31" i="8"/>
  <c r="P23" i="7"/>
  <c r="O4" i="7"/>
  <c r="N5" i="7"/>
  <c r="S8" i="7"/>
  <c r="Q10" i="7"/>
  <c r="P11" i="7"/>
  <c r="O12" i="7"/>
  <c r="S16" i="7"/>
  <c r="P19" i="7"/>
  <c r="P20" i="7"/>
  <c r="P21" i="7"/>
  <c r="P22" i="7"/>
  <c r="Q23" i="7"/>
  <c r="R10" i="9"/>
  <c r="P12" i="9"/>
  <c r="D24" i="9"/>
  <c r="N39" i="9" s="1"/>
  <c r="N14" i="9"/>
  <c r="M14" i="9"/>
  <c r="R18" i="9"/>
  <c r="P20" i="9"/>
  <c r="R24" i="9"/>
  <c r="P29" i="9"/>
  <c r="R50" i="9"/>
  <c r="P52" i="9"/>
  <c r="H60" i="9"/>
  <c r="G40" i="12" s="1"/>
  <c r="O112" i="9"/>
  <c r="M96" i="9"/>
  <c r="I12" i="12"/>
  <c r="T11" i="10"/>
  <c r="J18" i="10"/>
  <c r="J13" i="10"/>
  <c r="N4" i="11"/>
  <c r="T10" i="11"/>
  <c r="H33" i="12"/>
  <c r="S27" i="11"/>
  <c r="S18" i="11"/>
  <c r="S10" i="11"/>
  <c r="P44" i="11"/>
  <c r="S9" i="11"/>
  <c r="H27" i="12"/>
  <c r="O44" i="11"/>
  <c r="S22" i="11"/>
  <c r="S23" i="11"/>
  <c r="S15" i="11"/>
  <c r="S5" i="11"/>
  <c r="S30" i="11"/>
  <c r="S24" i="11"/>
  <c r="S16" i="11"/>
  <c r="S6" i="11"/>
  <c r="S17" i="11"/>
  <c r="S7" i="11"/>
  <c r="S14" i="11"/>
  <c r="S4" i="11"/>
  <c r="L14" i="11"/>
  <c r="L23" i="11"/>
  <c r="S26" i="11"/>
  <c r="L30" i="11"/>
  <c r="I32" i="11"/>
  <c r="M44" i="11"/>
  <c r="M57" i="11"/>
  <c r="U29" i="13"/>
  <c r="G72" i="17"/>
  <c r="U48" i="13"/>
  <c r="G32" i="17"/>
  <c r="I9" i="16"/>
  <c r="R104" i="13"/>
  <c r="F43" i="17"/>
  <c r="H22" i="16"/>
  <c r="F100" i="17" s="1"/>
  <c r="F81" i="17"/>
  <c r="I10" i="14"/>
  <c r="Q38" i="14"/>
  <c r="T6" i="14"/>
  <c r="P32" i="15"/>
  <c r="N66" i="15"/>
  <c r="E24" i="9"/>
  <c r="Q39" i="9"/>
  <c r="S45" i="9"/>
  <c r="H46" i="9"/>
  <c r="B60" i="9"/>
  <c r="J60" i="9"/>
  <c r="H29" i="11"/>
  <c r="N56" i="11"/>
  <c r="D35" i="17"/>
  <c r="D30" i="17"/>
  <c r="D29" i="17"/>
  <c r="D28" i="17"/>
  <c r="D25" i="17"/>
  <c r="D24" i="17"/>
  <c r="D23" i="17"/>
  <c r="D22" i="17"/>
  <c r="D19" i="17"/>
  <c r="D17" i="17"/>
  <c r="D16" i="17"/>
  <c r="D15" i="17"/>
  <c r="D14" i="17"/>
  <c r="D13" i="17"/>
  <c r="D10" i="17"/>
  <c r="D9" i="17"/>
  <c r="D8" i="17"/>
  <c r="D7" i="17"/>
  <c r="D6" i="17"/>
  <c r="D5" i="17"/>
  <c r="F16" i="16"/>
  <c r="Q46" i="13"/>
  <c r="Q35" i="13"/>
  <c r="Q20" i="13"/>
  <c r="Q54" i="13"/>
  <c r="D65" i="17"/>
  <c r="O85" i="13"/>
  <c r="Q29" i="13"/>
  <c r="Q16" i="13"/>
  <c r="Q5" i="13"/>
  <c r="Q51" i="13"/>
  <c r="Q38" i="13"/>
  <c r="Q23" i="13"/>
  <c r="Q10" i="13"/>
  <c r="Q53" i="13"/>
  <c r="Q45" i="13"/>
  <c r="Q37" i="13"/>
  <c r="Q33" i="13"/>
  <c r="Q25" i="13"/>
  <c r="Q22" i="13"/>
  <c r="Q18" i="13"/>
  <c r="Q7" i="13"/>
  <c r="Q47" i="13"/>
  <c r="Q13" i="13"/>
  <c r="Q11" i="13"/>
  <c r="Q36" i="13"/>
  <c r="H83" i="17"/>
  <c r="H45" i="17"/>
  <c r="J24" i="16"/>
  <c r="J14" i="16"/>
  <c r="H105" i="17" s="1"/>
  <c r="S42" i="14"/>
  <c r="K12" i="14"/>
  <c r="K17" i="14"/>
  <c r="C91" i="17"/>
  <c r="N57" i="15"/>
  <c r="O21" i="15"/>
  <c r="P63" i="15"/>
  <c r="S29" i="15"/>
  <c r="R32" i="15"/>
  <c r="G34" i="15"/>
  <c r="F11" i="17"/>
  <c r="H6" i="16"/>
  <c r="H5" i="16"/>
  <c r="F60" i="17"/>
  <c r="Q74" i="13"/>
  <c r="I25" i="13"/>
  <c r="F26" i="17" s="1"/>
  <c r="E64" i="17"/>
  <c r="E18" i="17"/>
  <c r="R24" i="13"/>
  <c r="P106" i="13"/>
  <c r="S52" i="13"/>
  <c r="B81" i="17"/>
  <c r="B43" i="17"/>
  <c r="D22" i="16"/>
  <c r="B10" i="14"/>
  <c r="M6" i="14"/>
  <c r="I22" i="16"/>
  <c r="G100" i="17" s="1"/>
  <c r="R38" i="14"/>
  <c r="G43" i="17"/>
  <c r="G81" i="17"/>
  <c r="D49" i="17"/>
  <c r="Q17" i="14"/>
  <c r="F21" i="14"/>
  <c r="D49" i="16"/>
  <c r="O96" i="9"/>
  <c r="O38" i="10"/>
  <c r="O31" i="11"/>
  <c r="O24" i="11"/>
  <c r="O15" i="11"/>
  <c r="O6" i="11"/>
  <c r="O30" i="11"/>
  <c r="O23" i="11"/>
  <c r="O14" i="11"/>
  <c r="O5" i="11"/>
  <c r="O26" i="11"/>
  <c r="M56" i="11"/>
  <c r="G5" i="12"/>
  <c r="H40" i="12"/>
  <c r="H41" i="12"/>
  <c r="H43" i="12"/>
  <c r="Q6" i="13"/>
  <c r="B60" i="17"/>
  <c r="D5" i="16"/>
  <c r="B11" i="17"/>
  <c r="M74" i="13"/>
  <c r="D6" i="16"/>
  <c r="B25" i="13"/>
  <c r="G60" i="17"/>
  <c r="G11" i="17"/>
  <c r="I6" i="16"/>
  <c r="U13" i="13"/>
  <c r="I5" i="16"/>
  <c r="Q19" i="13"/>
  <c r="S24" i="13"/>
  <c r="P84" i="13"/>
  <c r="Q30" i="13"/>
  <c r="F69" i="17"/>
  <c r="H7" i="16"/>
  <c r="Q96" i="13"/>
  <c r="I48" i="13"/>
  <c r="P104" i="13" s="1"/>
  <c r="Q44" i="13"/>
  <c r="R74" i="13"/>
  <c r="N6" i="14"/>
  <c r="C10" i="14"/>
  <c r="H81" i="17"/>
  <c r="H43" i="17"/>
  <c r="J22" i="16"/>
  <c r="H100" i="17" s="1"/>
  <c r="V6" i="14"/>
  <c r="S38" i="14"/>
  <c r="F5" i="12"/>
  <c r="F6" i="12"/>
  <c r="F4" i="12"/>
  <c r="F46" i="9"/>
  <c r="O101" i="9"/>
  <c r="B11" i="10"/>
  <c r="O57" i="10"/>
  <c r="O10" i="11"/>
  <c r="P30" i="11"/>
  <c r="P23" i="11"/>
  <c r="P14" i="11"/>
  <c r="P5" i="11"/>
  <c r="P22" i="11"/>
  <c r="P11" i="11"/>
  <c r="P4" i="11"/>
  <c r="F33" i="12"/>
  <c r="F29" i="11"/>
  <c r="P25" i="11"/>
  <c r="O11" i="11"/>
  <c r="O22" i="11"/>
  <c r="I41" i="12"/>
  <c r="G41" i="12"/>
  <c r="N13" i="13"/>
  <c r="H11" i="17"/>
  <c r="J6" i="16"/>
  <c r="H60" i="17"/>
  <c r="S74" i="13"/>
  <c r="K25" i="13"/>
  <c r="F18" i="17"/>
  <c r="Q84" i="13"/>
  <c r="F64" i="17"/>
  <c r="T24" i="13"/>
  <c r="C25" i="13"/>
  <c r="Q41" i="13"/>
  <c r="Q52" i="13"/>
  <c r="O84" i="13"/>
  <c r="T20" i="14"/>
  <c r="M38" i="14"/>
  <c r="G48" i="16"/>
  <c r="P52" i="15"/>
  <c r="S13" i="15"/>
  <c r="S11" i="15"/>
  <c r="S9" i="15"/>
  <c r="S7" i="15"/>
  <c r="S5" i="15"/>
  <c r="E90" i="17"/>
  <c r="G38" i="16"/>
  <c r="S30" i="15"/>
  <c r="S28" i="15"/>
  <c r="G30" i="16"/>
  <c r="S24" i="15"/>
  <c r="S25" i="15"/>
  <c r="S20" i="15"/>
  <c r="S14" i="15"/>
  <c r="P39" i="9"/>
  <c r="P38" i="10"/>
  <c r="S26" i="10"/>
  <c r="G29" i="11"/>
  <c r="P26" i="11"/>
  <c r="Q9" i="13"/>
  <c r="Q15" i="13"/>
  <c r="C35" i="17"/>
  <c r="C24" i="17"/>
  <c r="C14" i="17"/>
  <c r="C5" i="17"/>
  <c r="O55" i="13"/>
  <c r="O44" i="13"/>
  <c r="O33" i="13"/>
  <c r="C28" i="17"/>
  <c r="C17" i="17"/>
  <c r="C8" i="17"/>
  <c r="O52" i="13"/>
  <c r="C22" i="17"/>
  <c r="O46" i="13"/>
  <c r="C25" i="17"/>
  <c r="C15" i="17"/>
  <c r="C6" i="17"/>
  <c r="C29" i="17"/>
  <c r="C9" i="17"/>
  <c r="C23" i="17"/>
  <c r="C13" i="17"/>
  <c r="C16" i="17"/>
  <c r="C7" i="17"/>
  <c r="C30" i="17"/>
  <c r="C19" i="17"/>
  <c r="C10" i="17"/>
  <c r="O30" i="13"/>
  <c r="O11" i="13"/>
  <c r="O34" i="13"/>
  <c r="O19" i="13"/>
  <c r="O8" i="13"/>
  <c r="O38" i="13"/>
  <c r="O29" i="13"/>
  <c r="O23" i="13"/>
  <c r="O16" i="13"/>
  <c r="O5" i="13"/>
  <c r="O42" i="13"/>
  <c r="O41" i="13"/>
  <c r="O39" i="13"/>
  <c r="O36" i="13"/>
  <c r="O24" i="13"/>
  <c r="O21" i="13"/>
  <c r="O9" i="13"/>
  <c r="N48" i="13"/>
  <c r="E71" i="17"/>
  <c r="E31" i="17"/>
  <c r="R47" i="13"/>
  <c r="P96" i="13"/>
  <c r="J10" i="14"/>
  <c r="P51" i="14"/>
  <c r="O48" i="14"/>
  <c r="S36" i="15"/>
  <c r="J5" i="16"/>
  <c r="H97" i="17" s="1"/>
  <c r="O56" i="11"/>
  <c r="P74" i="13"/>
  <c r="D18" i="17"/>
  <c r="D64" i="17"/>
  <c r="D69" i="17"/>
  <c r="D26" i="17"/>
  <c r="F7" i="16"/>
  <c r="E6" i="18" s="1"/>
  <c r="F48" i="13"/>
  <c r="Q39" i="13"/>
  <c r="E81" i="17"/>
  <c r="G22" i="16"/>
  <c r="E100" i="17" s="1"/>
  <c r="H10" i="14"/>
  <c r="P38" i="14"/>
  <c r="E43" i="17"/>
  <c r="D45" i="17"/>
  <c r="F24" i="16"/>
  <c r="F14" i="16"/>
  <c r="D83" i="17"/>
  <c r="Q10" i="14"/>
  <c r="F12" i="14"/>
  <c r="M9" i="15"/>
  <c r="U12" i="15"/>
  <c r="U13" i="15"/>
  <c r="R35" i="15"/>
  <c r="R25" i="15"/>
  <c r="R19" i="15"/>
  <c r="R17" i="15"/>
  <c r="R13" i="15"/>
  <c r="R11" i="15"/>
  <c r="R9" i="15"/>
  <c r="R7" i="15"/>
  <c r="R5" i="15"/>
  <c r="R18" i="15"/>
  <c r="V29" i="15"/>
  <c r="V30" i="15"/>
  <c r="U31" i="15"/>
  <c r="R36" i="15"/>
  <c r="M11" i="15"/>
  <c r="F90" i="17"/>
  <c r="H48" i="16"/>
  <c r="H38" i="16"/>
  <c r="H30" i="16"/>
  <c r="Q52" i="15"/>
  <c r="T13" i="15"/>
  <c r="T11" i="15"/>
  <c r="T9" i="15"/>
  <c r="T7" i="15"/>
  <c r="T5" i="15"/>
  <c r="T30" i="15"/>
  <c r="T28" i="15"/>
  <c r="T24" i="15"/>
  <c r="T18" i="15"/>
  <c r="T19" i="15"/>
  <c r="T21" i="15"/>
  <c r="T35" i="15"/>
  <c r="T36" i="15"/>
  <c r="G49" i="16"/>
  <c r="B90" i="17"/>
  <c r="D30" i="16"/>
  <c r="M30" i="15"/>
  <c r="M28" i="15"/>
  <c r="M24" i="15"/>
  <c r="M36" i="15"/>
  <c r="M20" i="15"/>
  <c r="M18" i="15"/>
  <c r="M14" i="15"/>
  <c r="D48" i="16"/>
  <c r="G90" i="17"/>
  <c r="I48" i="16"/>
  <c r="U30" i="15"/>
  <c r="U28" i="15"/>
  <c r="I38" i="16"/>
  <c r="U24" i="15"/>
  <c r="U36" i="15"/>
  <c r="U20" i="15"/>
  <c r="U18" i="15"/>
  <c r="U14" i="15"/>
  <c r="I49" i="16"/>
  <c r="G31" i="16"/>
  <c r="S17" i="15"/>
  <c r="H21" i="15"/>
  <c r="P53" i="15"/>
  <c r="U19" i="15"/>
  <c r="U21" i="15"/>
  <c r="M31" i="15"/>
  <c r="C92" i="17"/>
  <c r="U35" i="15"/>
  <c r="P50" i="15"/>
  <c r="O60" i="15"/>
  <c r="P65" i="15"/>
  <c r="I30" i="16"/>
  <c r="H49" i="16"/>
  <c r="C60" i="17"/>
  <c r="E5" i="16"/>
  <c r="C11" i="17"/>
  <c r="N74" i="13"/>
  <c r="G18" i="17"/>
  <c r="C71" i="17"/>
  <c r="C31" i="17"/>
  <c r="B72" i="17"/>
  <c r="D9" i="16"/>
  <c r="M104" i="13"/>
  <c r="C81" i="17"/>
  <c r="O6" i="14"/>
  <c r="E22" i="16"/>
  <c r="C100" i="17" s="1"/>
  <c r="C43" i="17"/>
  <c r="M5" i="15"/>
  <c r="T8" i="15"/>
  <c r="R10" i="15"/>
  <c r="N24" i="15"/>
  <c r="N36" i="15"/>
  <c r="N20" i="15"/>
  <c r="N18" i="15"/>
  <c r="N14" i="15"/>
  <c r="C34" i="15"/>
  <c r="N12" i="15"/>
  <c r="N10" i="15"/>
  <c r="N8" i="15"/>
  <c r="N6" i="15"/>
  <c r="N4" i="15"/>
  <c r="J48" i="16"/>
  <c r="J38" i="16"/>
  <c r="J30" i="16"/>
  <c r="V24" i="15"/>
  <c r="H90" i="17"/>
  <c r="V36" i="15"/>
  <c r="V20" i="15"/>
  <c r="V18" i="15"/>
  <c r="V14" i="15"/>
  <c r="K34" i="15"/>
  <c r="V12" i="15"/>
  <c r="V10" i="15"/>
  <c r="V8" i="15"/>
  <c r="V6" i="15"/>
  <c r="V4" i="15"/>
  <c r="M17" i="15"/>
  <c r="S19" i="15"/>
  <c r="V19" i="15"/>
  <c r="V21" i="15"/>
  <c r="U25" i="15"/>
  <c r="Q26" i="15"/>
  <c r="R29" i="15"/>
  <c r="N31" i="15"/>
  <c r="V35" i="15"/>
  <c r="R57" i="15"/>
  <c r="E6" i="16"/>
  <c r="D38" i="16"/>
  <c r="R10" i="11"/>
  <c r="Q21" i="11"/>
  <c r="G33" i="12"/>
  <c r="E25" i="13"/>
  <c r="P48" i="13" s="1"/>
  <c r="H64" i="17"/>
  <c r="H18" i="17"/>
  <c r="H25" i="13"/>
  <c r="H69" i="17"/>
  <c r="J7" i="16"/>
  <c r="V39" i="13"/>
  <c r="N103" i="13"/>
  <c r="S51" i="14"/>
  <c r="N5" i="15"/>
  <c r="M6" i="15"/>
  <c r="U8" i="15"/>
  <c r="U9" i="15"/>
  <c r="S10" i="15"/>
  <c r="R12" i="15"/>
  <c r="N17" i="15"/>
  <c r="M19" i="15"/>
  <c r="B91" i="17"/>
  <c r="M57" i="15"/>
  <c r="S57" i="15"/>
  <c r="H91" i="17"/>
  <c r="V25" i="15"/>
  <c r="H26" i="15"/>
  <c r="R26" i="15"/>
  <c r="T27" i="15"/>
  <c r="R31" i="15"/>
  <c r="M52" i="15"/>
  <c r="R21" i="11"/>
  <c r="D60" i="17"/>
  <c r="D11" i="17"/>
  <c r="F6" i="16"/>
  <c r="F5" i="16"/>
  <c r="D97" i="17" s="1"/>
  <c r="O74" i="13"/>
  <c r="O13" i="13"/>
  <c r="C64" i="17"/>
  <c r="C18" i="17"/>
  <c r="V24" i="13"/>
  <c r="C69" i="17"/>
  <c r="N96" i="13"/>
  <c r="D48" i="13"/>
  <c r="C26" i="17"/>
  <c r="D71" i="17"/>
  <c r="D31" i="17"/>
  <c r="O47" i="13"/>
  <c r="O96" i="13"/>
  <c r="O103" i="13"/>
  <c r="D10" i="14"/>
  <c r="N51" i="14"/>
  <c r="O20" i="14"/>
  <c r="M20" i="14"/>
  <c r="R4" i="15"/>
  <c r="M7" i="15"/>
  <c r="V9" i="15"/>
  <c r="T10" i="15"/>
  <c r="E34" i="15"/>
  <c r="N19" i="15"/>
  <c r="M21" i="15"/>
  <c r="M25" i="15"/>
  <c r="T26" i="15"/>
  <c r="I32" i="15"/>
  <c r="I34" i="15" s="1"/>
  <c r="V26" i="15"/>
  <c r="U27" i="15"/>
  <c r="R28" i="15"/>
  <c r="T29" i="15"/>
  <c r="V32" i="15"/>
  <c r="J34" i="15"/>
  <c r="M35" i="15"/>
  <c r="B26" i="17"/>
  <c r="O9" i="19"/>
  <c r="E5" i="22"/>
  <c r="N22" i="19"/>
  <c r="D27" i="19"/>
  <c r="M53" i="19"/>
  <c r="E6" i="22"/>
  <c r="D9" i="22"/>
  <c r="L56" i="19"/>
  <c r="B34" i="19"/>
  <c r="E27" i="19"/>
  <c r="B18" i="17"/>
  <c r="G16" i="19"/>
  <c r="O29" i="19"/>
  <c r="O13" i="19"/>
  <c r="O5" i="19"/>
  <c r="O19" i="19"/>
  <c r="O31" i="19"/>
  <c r="O24" i="19"/>
  <c r="O7" i="19"/>
  <c r="O30" i="19"/>
  <c r="O22" i="19"/>
  <c r="O6" i="19"/>
  <c r="O20" i="19"/>
  <c r="O11" i="19"/>
  <c r="O16" i="19"/>
  <c r="O21" i="19"/>
  <c r="O12" i="19"/>
  <c r="O8" i="19"/>
  <c r="O32" i="19"/>
  <c r="O25" i="19"/>
  <c r="G26" i="17"/>
  <c r="G10" i="22"/>
  <c r="R33" i="19"/>
  <c r="G35" i="22"/>
  <c r="O59" i="19"/>
  <c r="B31" i="17"/>
  <c r="R19" i="19"/>
  <c r="R31" i="19"/>
  <c r="R24" i="19"/>
  <c r="R7" i="19"/>
  <c r="G23" i="22"/>
  <c r="G13" i="22"/>
  <c r="R21" i="19"/>
  <c r="R12" i="19"/>
  <c r="O50" i="19"/>
  <c r="R20" i="19"/>
  <c r="R11" i="19"/>
  <c r="R29" i="19"/>
  <c r="R8" i="19"/>
  <c r="R30" i="19"/>
  <c r="R25" i="19"/>
  <c r="R16" i="19"/>
  <c r="R5" i="19"/>
  <c r="G5" i="22"/>
  <c r="G6" i="22"/>
  <c r="O53" i="19"/>
  <c r="H27" i="19"/>
  <c r="R32" i="19"/>
  <c r="F71" i="17"/>
  <c r="F31" i="17"/>
  <c r="P25" i="15"/>
  <c r="O27" i="15"/>
  <c r="O29" i="15"/>
  <c r="O31" i="15"/>
  <c r="P35" i="15"/>
  <c r="O52" i="15"/>
  <c r="S60" i="15"/>
  <c r="E48" i="16"/>
  <c r="R6" i="19"/>
  <c r="R13" i="19"/>
  <c r="O49" i="19"/>
  <c r="R14" i="19"/>
  <c r="D43" i="17"/>
  <c r="F22" i="16"/>
  <c r="G12" i="14"/>
  <c r="R12" i="14" s="1"/>
  <c r="O12" i="15"/>
  <c r="P27" i="15"/>
  <c r="P29" i="15"/>
  <c r="P31" i="15"/>
  <c r="B32" i="15"/>
  <c r="J32" i="15"/>
  <c r="D34" i="15"/>
  <c r="J49" i="16"/>
  <c r="G71" i="17"/>
  <c r="M45" i="19"/>
  <c r="G64" i="17"/>
  <c r="B69" i="17"/>
  <c r="H71" i="17"/>
  <c r="T47" i="13"/>
  <c r="R84" i="13"/>
  <c r="M103" i="13"/>
  <c r="P4" i="15"/>
  <c r="P6" i="15"/>
  <c r="P8" i="15"/>
  <c r="P10" i="15"/>
  <c r="P12" i="15"/>
  <c r="D90" i="17"/>
  <c r="F48" i="16"/>
  <c r="F38" i="16"/>
  <c r="F30" i="16"/>
  <c r="O14" i="15"/>
  <c r="O18" i="15"/>
  <c r="O20" i="15"/>
  <c r="Q57" i="15"/>
  <c r="N60" i="15"/>
  <c r="Q27" i="15"/>
  <c r="Q29" i="15"/>
  <c r="Q31" i="15"/>
  <c r="O36" i="15"/>
  <c r="D81" i="17"/>
  <c r="F91" i="17"/>
  <c r="L49" i="19"/>
  <c r="C34" i="19"/>
  <c r="M59" i="19"/>
  <c r="E35" i="22"/>
  <c r="E41" i="22"/>
  <c r="E10" i="22"/>
  <c r="J46" i="16"/>
  <c r="M55" i="19"/>
  <c r="N26" i="19"/>
  <c r="I17" i="26"/>
  <c r="J14" i="24"/>
  <c r="J17" i="24"/>
  <c r="I12" i="26"/>
  <c r="T12" i="24"/>
  <c r="G34" i="23"/>
  <c r="E4" i="22"/>
  <c r="D16" i="19"/>
  <c r="N9" i="19"/>
  <c r="P49" i="19"/>
  <c r="F13" i="22"/>
  <c r="N50" i="19"/>
  <c r="P21" i="19"/>
  <c r="P12" i="19"/>
  <c r="P16" i="19"/>
  <c r="F23" i="22"/>
  <c r="P30" i="19"/>
  <c r="P6" i="19"/>
  <c r="P29" i="19"/>
  <c r="P13" i="19"/>
  <c r="P5" i="19"/>
  <c r="N55" i="19"/>
  <c r="O33" i="19"/>
  <c r="P33" i="19"/>
  <c r="N49" i="19"/>
  <c r="I11" i="20"/>
  <c r="H15" i="22"/>
  <c r="P28" i="20"/>
  <c r="O28" i="20"/>
  <c r="H20" i="20"/>
  <c r="R16" i="20"/>
  <c r="G41" i="22"/>
  <c r="I23" i="26"/>
  <c r="I13" i="26"/>
  <c r="T29" i="23"/>
  <c r="T13" i="23"/>
  <c r="T5" i="23"/>
  <c r="T21" i="23"/>
  <c r="T12" i="23"/>
  <c r="T31" i="23"/>
  <c r="T24" i="23"/>
  <c r="T20" i="23"/>
  <c r="T11" i="23"/>
  <c r="T30" i="23"/>
  <c r="T22" i="23"/>
  <c r="T19" i="23"/>
  <c r="T8" i="23"/>
  <c r="T7" i="23"/>
  <c r="T32" i="23"/>
  <c r="T14" i="23"/>
  <c r="T16" i="23"/>
  <c r="T6" i="23"/>
  <c r="T25" i="23"/>
  <c r="B11" i="20"/>
  <c r="D15" i="22"/>
  <c r="L28" i="20"/>
  <c r="L6" i="20"/>
  <c r="J11" i="20"/>
  <c r="I15" i="22"/>
  <c r="N15" i="21"/>
  <c r="M33" i="21"/>
  <c r="Q20" i="21"/>
  <c r="G23" i="21"/>
  <c r="N36" i="21"/>
  <c r="F46" i="16"/>
  <c r="N45" i="19"/>
  <c r="C16" i="19"/>
  <c r="H23" i="22"/>
  <c r="S33" i="19"/>
  <c r="S16" i="19"/>
  <c r="H13" i="22"/>
  <c r="S30" i="19"/>
  <c r="S6" i="19"/>
  <c r="S20" i="19"/>
  <c r="S11" i="19"/>
  <c r="S26" i="19"/>
  <c r="S19" i="19"/>
  <c r="S9" i="19"/>
  <c r="G27" i="19"/>
  <c r="R26" i="19"/>
  <c r="O55" i="19"/>
  <c r="P32" i="19"/>
  <c r="C16" i="20"/>
  <c r="C13" i="20"/>
  <c r="M13" i="20" s="1"/>
  <c r="M11" i="20"/>
  <c r="G30" i="22"/>
  <c r="G11" i="22"/>
  <c r="G16" i="22"/>
  <c r="R13" i="20"/>
  <c r="O41" i="20"/>
  <c r="R19" i="20"/>
  <c r="E15" i="22"/>
  <c r="M28" i="20"/>
  <c r="N6" i="20"/>
  <c r="D11" i="20"/>
  <c r="E16" i="20"/>
  <c r="E13" i="20"/>
  <c r="O13" i="20" s="1"/>
  <c r="O11" i="20"/>
  <c r="R9" i="19"/>
  <c r="G4" i="22"/>
  <c r="O45" i="19"/>
  <c r="O14" i="19"/>
  <c r="H6" i="22"/>
  <c r="S22" i="19"/>
  <c r="I27" i="19"/>
  <c r="H5" i="22"/>
  <c r="P53" i="19"/>
  <c r="P24" i="19"/>
  <c r="L26" i="19"/>
  <c r="F9" i="22"/>
  <c r="P27" i="19"/>
  <c r="F8" i="22"/>
  <c r="N56" i="19"/>
  <c r="S32" i="19"/>
  <c r="F34" i="19"/>
  <c r="F13" i="20"/>
  <c r="F42" i="22" s="1"/>
  <c r="F17" i="22"/>
  <c r="F12" i="22"/>
  <c r="N33" i="20"/>
  <c r="F16" i="20"/>
  <c r="M24" i="21"/>
  <c r="M18" i="21"/>
  <c r="M10" i="21"/>
  <c r="M17" i="21"/>
  <c r="M6" i="21"/>
  <c r="M5" i="21"/>
  <c r="M19" i="21"/>
  <c r="M4" i="21"/>
  <c r="M13" i="21"/>
  <c r="C23" i="21"/>
  <c r="L31" i="21"/>
  <c r="M21" i="21"/>
  <c r="M14" i="21"/>
  <c r="M22" i="21"/>
  <c r="I9" i="22"/>
  <c r="J34" i="19"/>
  <c r="S6" i="20"/>
  <c r="N17" i="21"/>
  <c r="D23" i="21"/>
  <c r="N24" i="21"/>
  <c r="N18" i="21"/>
  <c r="N5" i="21"/>
  <c r="N19" i="21"/>
  <c r="N4" i="21"/>
  <c r="N21" i="21"/>
  <c r="N11" i="21"/>
  <c r="M31" i="21"/>
  <c r="N14" i="21"/>
  <c r="N9" i="21"/>
  <c r="N8" i="21"/>
  <c r="N7" i="21"/>
  <c r="E31" i="22"/>
  <c r="N22" i="21"/>
  <c r="N13" i="21"/>
  <c r="M11" i="21"/>
  <c r="O27" i="23"/>
  <c r="E34" i="23"/>
  <c r="O34" i="23" s="1"/>
  <c r="L34" i="23"/>
  <c r="H12" i="26"/>
  <c r="P35" i="24"/>
  <c r="H17" i="26"/>
  <c r="I14" i="24"/>
  <c r="I17" i="24"/>
  <c r="S12" i="24"/>
  <c r="D4" i="22"/>
  <c r="I4" i="22"/>
  <c r="F5" i="22"/>
  <c r="F6" i="22"/>
  <c r="N20" i="21"/>
  <c r="F35" i="22"/>
  <c r="M8" i="23"/>
  <c r="O20" i="23"/>
  <c r="P55" i="23"/>
  <c r="S26" i="23"/>
  <c r="I27" i="23"/>
  <c r="N17" i="24"/>
  <c r="F31" i="26"/>
  <c r="P10" i="25"/>
  <c r="P17" i="25"/>
  <c r="P9" i="25"/>
  <c r="P27" i="25"/>
  <c r="F26" i="25"/>
  <c r="P25" i="25"/>
  <c r="P24" i="25"/>
  <c r="P14" i="25"/>
  <c r="P7" i="25"/>
  <c r="P20" i="25"/>
  <c r="P12" i="25"/>
  <c r="P4" i="25"/>
  <c r="P8" i="25"/>
  <c r="P22" i="25"/>
  <c r="P18" i="25"/>
  <c r="N33" i="25"/>
  <c r="P21" i="25"/>
  <c r="P11" i="25"/>
  <c r="P22" i="19"/>
  <c r="P45" i="19"/>
  <c r="L59" i="19"/>
  <c r="G16" i="20"/>
  <c r="J23" i="21"/>
  <c r="T15" i="21"/>
  <c r="I5" i="22"/>
  <c r="L49" i="23"/>
  <c r="L14" i="23"/>
  <c r="O22" i="23"/>
  <c r="J27" i="23"/>
  <c r="T26" i="23"/>
  <c r="E20" i="26"/>
  <c r="E34" i="26"/>
  <c r="D22" i="24"/>
  <c r="E40" i="26"/>
  <c r="E18" i="26"/>
  <c r="E29" i="26"/>
  <c r="N21" i="24"/>
  <c r="O35" i="25"/>
  <c r="D6" i="22"/>
  <c r="D4" i="26"/>
  <c r="L45" i="23"/>
  <c r="I4" i="26"/>
  <c r="T9" i="23"/>
  <c r="M14" i="23"/>
  <c r="M53" i="23"/>
  <c r="P29" i="24"/>
  <c r="S6" i="24"/>
  <c r="S18" i="25"/>
  <c r="P35" i="25"/>
  <c r="N23" i="25"/>
  <c r="H15" i="26"/>
  <c r="G40" i="22"/>
  <c r="G42" i="22"/>
  <c r="M21" i="23"/>
  <c r="M12" i="23"/>
  <c r="M20" i="23"/>
  <c r="M11" i="23"/>
  <c r="M30" i="23"/>
  <c r="M31" i="23"/>
  <c r="M24" i="23"/>
  <c r="M13" i="23"/>
  <c r="M5" i="23"/>
  <c r="M32" i="23"/>
  <c r="M25" i="23"/>
  <c r="M6" i="23"/>
  <c r="M22" i="23"/>
  <c r="N14" i="23"/>
  <c r="F27" i="23"/>
  <c r="F5" i="26"/>
  <c r="F4" i="26"/>
  <c r="F6" i="26"/>
  <c r="M55" i="23"/>
  <c r="N26" i="23"/>
  <c r="M26" i="23"/>
  <c r="M29" i="23"/>
  <c r="N53" i="23"/>
  <c r="L6" i="24"/>
  <c r="D15" i="26"/>
  <c r="B12" i="24"/>
  <c r="L29" i="24"/>
  <c r="I15" i="26"/>
  <c r="T6" i="24"/>
  <c r="G22" i="24"/>
  <c r="Q21" i="24"/>
  <c r="L53" i="19"/>
  <c r="E4" i="26"/>
  <c r="D16" i="23"/>
  <c r="M9" i="23"/>
  <c r="O26" i="23"/>
  <c r="O19" i="23"/>
  <c r="O9" i="23"/>
  <c r="O16" i="23"/>
  <c r="O32" i="23"/>
  <c r="O25" i="23"/>
  <c r="O6" i="23"/>
  <c r="O7" i="23"/>
  <c r="O29" i="23"/>
  <c r="O8" i="23"/>
  <c r="O14" i="23"/>
  <c r="O13" i="23"/>
  <c r="O5" i="23"/>
  <c r="O24" i="23"/>
  <c r="D8" i="26"/>
  <c r="L27" i="23"/>
  <c r="D9" i="26"/>
  <c r="H10" i="26"/>
  <c r="S33" i="23"/>
  <c r="P59" i="23"/>
  <c r="H35" i="26"/>
  <c r="H41" i="26"/>
  <c r="G17" i="22"/>
  <c r="R11" i="20"/>
  <c r="O33" i="20"/>
  <c r="L19" i="20"/>
  <c r="L37" i="21"/>
  <c r="B25" i="21"/>
  <c r="F4" i="22"/>
  <c r="I10" i="22"/>
  <c r="D41" i="22"/>
  <c r="G43" i="18" s="1"/>
  <c r="M7" i="23"/>
  <c r="B16" i="23"/>
  <c r="M19" i="23"/>
  <c r="O53" i="23"/>
  <c r="R22" i="23"/>
  <c r="G6" i="26"/>
  <c r="G5" i="26"/>
  <c r="D35" i="26"/>
  <c r="H40" i="18" s="1"/>
  <c r="L59" i="23"/>
  <c r="D10" i="26"/>
  <c r="I10" i="26"/>
  <c r="I35" i="26"/>
  <c r="I41" i="26"/>
  <c r="T33" i="23"/>
  <c r="C26" i="25"/>
  <c r="M21" i="25"/>
  <c r="M13" i="25"/>
  <c r="M5" i="25"/>
  <c r="L33" i="25"/>
  <c r="M20" i="25"/>
  <c r="M12" i="25"/>
  <c r="M4" i="25"/>
  <c r="M10" i="25"/>
  <c r="M27" i="25"/>
  <c r="M14" i="25"/>
  <c r="M7" i="25"/>
  <c r="M16" i="25"/>
  <c r="M11" i="25"/>
  <c r="M6" i="25"/>
  <c r="M24" i="25"/>
  <c r="M17" i="25"/>
  <c r="M8" i="25"/>
  <c r="M25" i="25"/>
  <c r="M9" i="25"/>
  <c r="M23" i="25"/>
  <c r="Q14" i="23"/>
  <c r="O30" i="23"/>
  <c r="L33" i="23"/>
  <c r="P6" i="25"/>
  <c r="T26" i="25"/>
  <c r="J28" i="25"/>
  <c r="T28" i="25" s="1"/>
  <c r="H4" i="22"/>
  <c r="B16" i="19"/>
  <c r="L33" i="19" s="1"/>
  <c r="J16" i="19"/>
  <c r="P50" i="19" s="1"/>
  <c r="F15" i="22"/>
  <c r="P6" i="20"/>
  <c r="M41" i="20"/>
  <c r="G29" i="22"/>
  <c r="R13" i="21"/>
  <c r="R11" i="21"/>
  <c r="R21" i="21"/>
  <c r="R10" i="21"/>
  <c r="R9" i="21"/>
  <c r="R22" i="21"/>
  <c r="R8" i="21"/>
  <c r="O31" i="21"/>
  <c r="H23" i="21"/>
  <c r="R15" i="21"/>
  <c r="R14" i="21"/>
  <c r="R7" i="21"/>
  <c r="M20" i="21"/>
  <c r="N37" i="21"/>
  <c r="F41" i="22"/>
  <c r="O11" i="23"/>
  <c r="H23" i="26"/>
  <c r="H13" i="26"/>
  <c r="S30" i="23"/>
  <c r="S6" i="23"/>
  <c r="S29" i="23"/>
  <c r="S13" i="23"/>
  <c r="S5" i="23"/>
  <c r="S32" i="23"/>
  <c r="S25" i="23"/>
  <c r="P50" i="23"/>
  <c r="S19" i="23"/>
  <c r="S8" i="23"/>
  <c r="S20" i="23"/>
  <c r="S11" i="23"/>
  <c r="S21" i="23"/>
  <c r="S12" i="23"/>
  <c r="S16" i="23"/>
  <c r="S7" i="23"/>
  <c r="H27" i="23"/>
  <c r="E35" i="26"/>
  <c r="E10" i="26"/>
  <c r="G17" i="26"/>
  <c r="G12" i="26"/>
  <c r="O35" i="24"/>
  <c r="H17" i="24"/>
  <c r="R12" i="24"/>
  <c r="H14" i="24"/>
  <c r="C21" i="24"/>
  <c r="M17" i="24"/>
  <c r="P5" i="25"/>
  <c r="H4" i="26"/>
  <c r="P45" i="23"/>
  <c r="N49" i="23"/>
  <c r="G23" i="26"/>
  <c r="G13" i="26"/>
  <c r="O50" i="23"/>
  <c r="R31" i="23"/>
  <c r="R24" i="23"/>
  <c r="R14" i="23"/>
  <c r="R7" i="23"/>
  <c r="R30" i="23"/>
  <c r="R6" i="23"/>
  <c r="E6" i="26"/>
  <c r="E5" i="26"/>
  <c r="D27" i="23"/>
  <c r="R25" i="23"/>
  <c r="R29" i="23"/>
  <c r="R32" i="23"/>
  <c r="F17" i="26"/>
  <c r="F12" i="26"/>
  <c r="F17" i="24"/>
  <c r="P12" i="24"/>
  <c r="L37" i="25"/>
  <c r="L23" i="25"/>
  <c r="E26" i="25"/>
  <c r="Q26" i="27"/>
  <c r="D41" i="26"/>
  <c r="H43" i="18" s="1"/>
  <c r="Q9" i="27"/>
  <c r="G16" i="27"/>
  <c r="G8" i="30"/>
  <c r="G9" i="30"/>
  <c r="H34" i="27"/>
  <c r="R27" i="27"/>
  <c r="M53" i="27"/>
  <c r="E27" i="27"/>
  <c r="M56" i="27" s="1"/>
  <c r="O22" i="27"/>
  <c r="O24" i="25"/>
  <c r="O11" i="25"/>
  <c r="O10" i="25"/>
  <c r="O16" i="25"/>
  <c r="O8" i="25"/>
  <c r="O21" i="25"/>
  <c r="O13" i="25"/>
  <c r="O5" i="25"/>
  <c r="O14" i="25"/>
  <c r="L35" i="25"/>
  <c r="L18" i="25"/>
  <c r="B26" i="25"/>
  <c r="O23" i="25"/>
  <c r="E23" i="21"/>
  <c r="O22" i="21"/>
  <c r="O13" i="21"/>
  <c r="H41" i="22"/>
  <c r="F16" i="23"/>
  <c r="R11" i="23"/>
  <c r="R20" i="23"/>
  <c r="O33" i="23"/>
  <c r="E12" i="24"/>
  <c r="O6" i="24"/>
  <c r="O9" i="25"/>
  <c r="O12" i="25"/>
  <c r="M35" i="25"/>
  <c r="N18" i="25"/>
  <c r="O22" i="25"/>
  <c r="Q26" i="25"/>
  <c r="I23" i="30"/>
  <c r="I13" i="30"/>
  <c r="T20" i="27"/>
  <c r="T11" i="27"/>
  <c r="T32" i="27"/>
  <c r="T31" i="27"/>
  <c r="T30" i="27"/>
  <c r="T29" i="27"/>
  <c r="T25" i="27"/>
  <c r="T24" i="27"/>
  <c r="T19" i="27"/>
  <c r="T21" i="27"/>
  <c r="T16" i="27"/>
  <c r="T12" i="27"/>
  <c r="T6" i="27"/>
  <c r="T13" i="27"/>
  <c r="T7" i="27"/>
  <c r="T8" i="27"/>
  <c r="P22" i="21"/>
  <c r="P21" i="21"/>
  <c r="P14" i="21"/>
  <c r="O11" i="21"/>
  <c r="P13" i="21"/>
  <c r="O21" i="21"/>
  <c r="R8" i="23"/>
  <c r="G16" i="23"/>
  <c r="R9" i="23"/>
  <c r="R19" i="23"/>
  <c r="R26" i="23"/>
  <c r="R33" i="23"/>
  <c r="R6" i="24"/>
  <c r="F14" i="24"/>
  <c r="O33" i="25"/>
  <c r="G31" i="26"/>
  <c r="R16" i="25"/>
  <c r="R8" i="25"/>
  <c r="R27" i="25"/>
  <c r="H26" i="25"/>
  <c r="R25" i="25"/>
  <c r="R24" i="25"/>
  <c r="R14" i="25"/>
  <c r="R7" i="25"/>
  <c r="R21" i="25"/>
  <c r="R13" i="25"/>
  <c r="R5" i="25"/>
  <c r="R10" i="25"/>
  <c r="O18" i="25"/>
  <c r="R18" i="25"/>
  <c r="R23" i="25"/>
  <c r="O4" i="21"/>
  <c r="Q21" i="21"/>
  <c r="Q14" i="21"/>
  <c r="Q13" i="21"/>
  <c r="P11" i="21"/>
  <c r="P33" i="21"/>
  <c r="O19" i="21"/>
  <c r="G4" i="26"/>
  <c r="O45" i="23"/>
  <c r="S9" i="23"/>
  <c r="R16" i="23"/>
  <c r="C27" i="23"/>
  <c r="R12" i="25"/>
  <c r="O17" i="25"/>
  <c r="R22" i="25"/>
  <c r="D26" i="25"/>
  <c r="L20" i="27"/>
  <c r="D23" i="30"/>
  <c r="D13" i="30"/>
  <c r="L32" i="27"/>
  <c r="L31" i="27"/>
  <c r="L30" i="27"/>
  <c r="L29" i="27"/>
  <c r="L25" i="27"/>
  <c r="L24" i="27"/>
  <c r="L22" i="27"/>
  <c r="L11" i="27"/>
  <c r="L21" i="27"/>
  <c r="L19" i="27"/>
  <c r="L16" i="27"/>
  <c r="L33" i="27"/>
  <c r="L26" i="27"/>
  <c r="L12" i="27"/>
  <c r="L50" i="27"/>
  <c r="L7" i="27"/>
  <c r="L8" i="27"/>
  <c r="L6" i="27"/>
  <c r="I17" i="30"/>
  <c r="I12" i="30"/>
  <c r="J16" i="28"/>
  <c r="J13" i="28"/>
  <c r="T11" i="28"/>
  <c r="E28" i="29"/>
  <c r="O28" i="29" s="1"/>
  <c r="O26" i="29"/>
  <c r="E30" i="26"/>
  <c r="E16" i="26"/>
  <c r="E11" i="26"/>
  <c r="Q11" i="25"/>
  <c r="N25" i="25"/>
  <c r="E31" i="26"/>
  <c r="N22" i="25"/>
  <c r="F35" i="26"/>
  <c r="N7" i="27"/>
  <c r="G4" i="30"/>
  <c r="O45" i="27"/>
  <c r="N22" i="27"/>
  <c r="N25" i="27"/>
  <c r="R30" i="27"/>
  <c r="R32" i="27"/>
  <c r="I26" i="29"/>
  <c r="S18" i="29"/>
  <c r="S25" i="29"/>
  <c r="S9" i="29"/>
  <c r="S22" i="29"/>
  <c r="P33" i="29"/>
  <c r="S27" i="29"/>
  <c r="S21" i="29"/>
  <c r="S12" i="29"/>
  <c r="S4" i="29"/>
  <c r="H31" i="30"/>
  <c r="S20" i="29"/>
  <c r="S11" i="29"/>
  <c r="S24" i="29"/>
  <c r="S7" i="29"/>
  <c r="S8" i="29"/>
  <c r="S17" i="29"/>
  <c r="S10" i="29"/>
  <c r="S6" i="29"/>
  <c r="L35" i="29"/>
  <c r="L18" i="29"/>
  <c r="G35" i="26"/>
  <c r="R7" i="27"/>
  <c r="H4" i="30"/>
  <c r="P45" i="27"/>
  <c r="S9" i="27"/>
  <c r="N13" i="27"/>
  <c r="T14" i="27"/>
  <c r="R16" i="27"/>
  <c r="E8" i="30"/>
  <c r="E9" i="30"/>
  <c r="N29" i="27"/>
  <c r="N31" i="27"/>
  <c r="D11" i="28"/>
  <c r="E15" i="30"/>
  <c r="N6" i="28"/>
  <c r="Q22" i="25"/>
  <c r="P23" i="25"/>
  <c r="E42" i="26"/>
  <c r="E41" i="26"/>
  <c r="N53" i="27"/>
  <c r="F5" i="30"/>
  <c r="F6" i="30"/>
  <c r="R22" i="27"/>
  <c r="S26" i="27"/>
  <c r="F27" i="27"/>
  <c r="O33" i="27"/>
  <c r="M55" i="27"/>
  <c r="D17" i="30"/>
  <c r="D12" i="30"/>
  <c r="L32" i="28"/>
  <c r="M27" i="28"/>
  <c r="F42" i="26"/>
  <c r="M50" i="27"/>
  <c r="N16" i="27"/>
  <c r="N8" i="27"/>
  <c r="E13" i="30"/>
  <c r="N21" i="27"/>
  <c r="N20" i="27"/>
  <c r="N19" i="27"/>
  <c r="N9" i="27"/>
  <c r="N12" i="27"/>
  <c r="R29" i="27"/>
  <c r="G23" i="30"/>
  <c r="G13" i="30"/>
  <c r="R13" i="27"/>
  <c r="R5" i="27"/>
  <c r="R12" i="27"/>
  <c r="O50" i="27"/>
  <c r="R11" i="27"/>
  <c r="R6" i="27"/>
  <c r="Q22" i="27"/>
  <c r="N24" i="27"/>
  <c r="T26" i="27"/>
  <c r="G27" i="27"/>
  <c r="R31" i="27"/>
  <c r="N27" i="28"/>
  <c r="F15" i="30"/>
  <c r="F11" i="28"/>
  <c r="P6" i="28"/>
  <c r="D30" i="30"/>
  <c r="D16" i="30"/>
  <c r="D11" i="30"/>
  <c r="L34" i="28"/>
  <c r="L18" i="21"/>
  <c r="T18" i="21"/>
  <c r="S19" i="21"/>
  <c r="L24" i="21"/>
  <c r="T24" i="21"/>
  <c r="E17" i="26"/>
  <c r="E12" i="26"/>
  <c r="Q8" i="25"/>
  <c r="N11" i="25"/>
  <c r="P33" i="25"/>
  <c r="S27" i="25"/>
  <c r="Q16" i="25"/>
  <c r="S22" i="25"/>
  <c r="D5" i="26"/>
  <c r="I6" i="26"/>
  <c r="F15" i="26"/>
  <c r="F41" i="26"/>
  <c r="O32" i="27"/>
  <c r="O25" i="27"/>
  <c r="O8" i="27"/>
  <c r="O7" i="27"/>
  <c r="O16" i="27"/>
  <c r="O12" i="27"/>
  <c r="M21" i="27"/>
  <c r="M20" i="27"/>
  <c r="M19" i="27"/>
  <c r="M16" i="27"/>
  <c r="M32" i="27"/>
  <c r="M31" i="27"/>
  <c r="M30" i="27"/>
  <c r="M29" i="27"/>
  <c r="M25" i="27"/>
  <c r="M24" i="27"/>
  <c r="M22" i="27"/>
  <c r="M11" i="27"/>
  <c r="L14" i="27"/>
  <c r="I16" i="27"/>
  <c r="O24" i="27"/>
  <c r="N26" i="27"/>
  <c r="N27" i="27"/>
  <c r="N30" i="27"/>
  <c r="N32" i="27"/>
  <c r="F10" i="30"/>
  <c r="F35" i="30"/>
  <c r="N59" i="27"/>
  <c r="G16" i="28"/>
  <c r="G13" i="28"/>
  <c r="Q13" i="28" s="1"/>
  <c r="Q11" i="28"/>
  <c r="Q6" i="28"/>
  <c r="C13" i="28"/>
  <c r="B16" i="28"/>
  <c r="N33" i="29"/>
  <c r="P22" i="29"/>
  <c r="F31" i="30"/>
  <c r="P27" i="29"/>
  <c r="P21" i="29"/>
  <c r="P12" i="29"/>
  <c r="P4" i="29"/>
  <c r="P24" i="29"/>
  <c r="P16" i="29"/>
  <c r="P7" i="29"/>
  <c r="P14" i="29"/>
  <c r="P6" i="29"/>
  <c r="P20" i="29"/>
  <c r="P10" i="29"/>
  <c r="P5" i="29"/>
  <c r="F26" i="29"/>
  <c r="P17" i="29"/>
  <c r="P9" i="29"/>
  <c r="S14" i="29"/>
  <c r="Q26" i="29"/>
  <c r="G28" i="29"/>
  <c r="Q28" i="29" s="1"/>
  <c r="S22" i="23"/>
  <c r="N12" i="24"/>
  <c r="N4" i="25"/>
  <c r="S7" i="25"/>
  <c r="Q9" i="25"/>
  <c r="N12" i="25"/>
  <c r="S14" i="25"/>
  <c r="N35" i="25"/>
  <c r="N20" i="25"/>
  <c r="T22" i="25"/>
  <c r="S24" i="25"/>
  <c r="S25" i="25"/>
  <c r="I26" i="25"/>
  <c r="T27" i="25"/>
  <c r="M33" i="25"/>
  <c r="N37" i="25"/>
  <c r="N45" i="27"/>
  <c r="F4" i="30"/>
  <c r="F16" i="27"/>
  <c r="R9" i="27"/>
  <c r="M49" i="27"/>
  <c r="N14" i="27"/>
  <c r="M14" i="27"/>
  <c r="R19" i="27"/>
  <c r="R21" i="27"/>
  <c r="O30" i="27"/>
  <c r="D34" i="27"/>
  <c r="G17" i="30"/>
  <c r="G12" i="30"/>
  <c r="H16" i="28"/>
  <c r="H13" i="28"/>
  <c r="R11" i="28"/>
  <c r="C16" i="28"/>
  <c r="S5" i="29"/>
  <c r="E6" i="30"/>
  <c r="E5" i="30"/>
  <c r="M26" i="27"/>
  <c r="C27" i="27"/>
  <c r="M33" i="27"/>
  <c r="I13" i="28"/>
  <c r="P32" i="28"/>
  <c r="H17" i="30"/>
  <c r="H12" i="30"/>
  <c r="L38" i="29"/>
  <c r="E41" i="30"/>
  <c r="F41" i="30"/>
  <c r="H5" i="30"/>
  <c r="H6" i="30"/>
  <c r="S22" i="27"/>
  <c r="R26" i="27"/>
  <c r="R33" i="27"/>
  <c r="P55" i="27"/>
  <c r="R6" i="28"/>
  <c r="L25" i="29"/>
  <c r="L24" i="29"/>
  <c r="L17" i="29"/>
  <c r="L8" i="29"/>
  <c r="D31" i="30"/>
  <c r="L27" i="29"/>
  <c r="L21" i="29"/>
  <c r="L20" i="29"/>
  <c r="L11" i="29"/>
  <c r="B26" i="29"/>
  <c r="L10" i="29"/>
  <c r="T25" i="29"/>
  <c r="T24" i="29"/>
  <c r="T17" i="29"/>
  <c r="T8" i="29"/>
  <c r="T27" i="29"/>
  <c r="T21" i="29"/>
  <c r="I31" i="30"/>
  <c r="T20" i="29"/>
  <c r="T11" i="29"/>
  <c r="J26" i="29"/>
  <c r="T10" i="29"/>
  <c r="L16" i="29"/>
  <c r="E4" i="30"/>
  <c r="G41" i="30"/>
  <c r="L9" i="27"/>
  <c r="T9" i="27"/>
  <c r="D6" i="30"/>
  <c r="I6" i="18" s="1"/>
  <c r="B27" i="27"/>
  <c r="D5" i="30"/>
  <c r="J27" i="27"/>
  <c r="I5" i="30"/>
  <c r="T22" i="27"/>
  <c r="I27" i="27"/>
  <c r="O56" i="27" s="1"/>
  <c r="P59" i="27"/>
  <c r="H10" i="30"/>
  <c r="H41" i="30"/>
  <c r="H35" i="30"/>
  <c r="S33" i="27"/>
  <c r="S6" i="28"/>
  <c r="H15" i="30"/>
  <c r="L9" i="29"/>
  <c r="M24" i="29"/>
  <c r="M16" i="29"/>
  <c r="M7" i="29"/>
  <c r="M20" i="29"/>
  <c r="C26" i="29"/>
  <c r="M18" i="29"/>
  <c r="M10" i="29"/>
  <c r="M25" i="29"/>
  <c r="M9" i="29"/>
  <c r="L14" i="29"/>
  <c r="L33" i="29"/>
  <c r="L55" i="27"/>
  <c r="D35" i="30"/>
  <c r="I40" i="18" s="1"/>
  <c r="D10" i="30"/>
  <c r="T33" i="27"/>
  <c r="O59" i="27"/>
  <c r="S11" i="28"/>
  <c r="I16" i="28"/>
  <c r="T7" i="29"/>
  <c r="L12" i="29"/>
  <c r="N23" i="29"/>
  <c r="M33" i="29"/>
  <c r="N14" i="29"/>
  <c r="N6" i="29"/>
  <c r="E31" i="30"/>
  <c r="D26" i="29"/>
  <c r="N25" i="29"/>
  <c r="N9" i="29"/>
  <c r="N24" i="29"/>
  <c r="N17" i="29"/>
  <c r="N8" i="29"/>
  <c r="M14" i="29"/>
  <c r="R18" i="29"/>
  <c r="O35" i="29"/>
  <c r="T22" i="29"/>
  <c r="P38" i="29"/>
  <c r="I6" i="30"/>
  <c r="R4" i="29"/>
  <c r="O7" i="29"/>
  <c r="R12" i="29"/>
  <c r="O16" i="29"/>
  <c r="R21" i="29"/>
  <c r="Q22" i="29"/>
  <c r="R27" i="29"/>
  <c r="O33" i="29"/>
  <c r="M35" i="29"/>
  <c r="N38" i="29"/>
  <c r="H42" i="30"/>
  <c r="R22" i="29"/>
  <c r="O24" i="29"/>
  <c r="E10" i="30"/>
  <c r="I42" i="30"/>
  <c r="D42" i="30"/>
  <c r="I44" i="18" s="1"/>
  <c r="R10" i="29"/>
  <c r="H26" i="29"/>
  <c r="R20" i="29"/>
  <c r="I37" i="15" l="1"/>
  <c r="T34" i="15"/>
  <c r="Q67" i="15"/>
  <c r="F56" i="13"/>
  <c r="S61" i="9"/>
  <c r="I4" i="18"/>
  <c r="M16" i="28"/>
  <c r="C19" i="28"/>
  <c r="L37" i="28"/>
  <c r="B19" i="28"/>
  <c r="L16" i="28"/>
  <c r="P16" i="23"/>
  <c r="N50" i="23"/>
  <c r="P32" i="23"/>
  <c r="P25" i="23"/>
  <c r="P8" i="23"/>
  <c r="F23" i="26"/>
  <c r="P7" i="23"/>
  <c r="P29" i="23"/>
  <c r="P33" i="23"/>
  <c r="P26" i="23"/>
  <c r="F13" i="26"/>
  <c r="P6" i="23"/>
  <c r="P30" i="23"/>
  <c r="P19" i="23"/>
  <c r="P13" i="23"/>
  <c r="P5" i="23"/>
  <c r="P24" i="23"/>
  <c r="P9" i="23"/>
  <c r="P21" i="23"/>
  <c r="P12" i="23"/>
  <c r="P14" i="23"/>
  <c r="P31" i="23"/>
  <c r="P20" i="23"/>
  <c r="P11" i="23"/>
  <c r="O37" i="21"/>
  <c r="H25" i="21"/>
  <c r="R23" i="21"/>
  <c r="J25" i="21"/>
  <c r="T23" i="21"/>
  <c r="P37" i="21"/>
  <c r="T34" i="19"/>
  <c r="I42" i="26"/>
  <c r="I16" i="26"/>
  <c r="I30" i="26"/>
  <c r="T14" i="24"/>
  <c r="I11" i="26"/>
  <c r="M66" i="15"/>
  <c r="B92" i="17"/>
  <c r="M32" i="15"/>
  <c r="B34" i="15"/>
  <c r="Q20" i="19"/>
  <c r="Q11" i="19"/>
  <c r="Q32" i="19"/>
  <c r="Q25" i="19"/>
  <c r="Q8" i="19"/>
  <c r="Q29" i="19"/>
  <c r="Q13" i="19"/>
  <c r="Q5" i="19"/>
  <c r="Q21" i="19"/>
  <c r="Q12" i="19"/>
  <c r="Q24" i="19"/>
  <c r="Q16" i="19"/>
  <c r="Q19" i="19"/>
  <c r="Q6" i="19"/>
  <c r="Q33" i="19"/>
  <c r="Q30" i="19"/>
  <c r="Q22" i="19"/>
  <c r="Q31" i="19"/>
  <c r="Q7" i="19"/>
  <c r="U34" i="15"/>
  <c r="R67" i="15"/>
  <c r="J37" i="15"/>
  <c r="G83" i="17"/>
  <c r="J17" i="14"/>
  <c r="I14" i="16"/>
  <c r="G105" i="17" s="1"/>
  <c r="G45" i="17"/>
  <c r="I24" i="16"/>
  <c r="R42" i="14"/>
  <c r="J12" i="14"/>
  <c r="U10" i="14"/>
  <c r="H35" i="17"/>
  <c r="H30" i="17"/>
  <c r="H29" i="17"/>
  <c r="H28" i="17"/>
  <c r="H25" i="17"/>
  <c r="H24" i="17"/>
  <c r="H23" i="17"/>
  <c r="H22" i="17"/>
  <c r="H19" i="17"/>
  <c r="H17" i="17"/>
  <c r="H16" i="17"/>
  <c r="H15" i="17"/>
  <c r="H14" i="17"/>
  <c r="H13" i="17"/>
  <c r="H10" i="17"/>
  <c r="H9" i="17"/>
  <c r="H8" i="17"/>
  <c r="H7" i="17"/>
  <c r="H6" i="17"/>
  <c r="H5" i="17"/>
  <c r="J16" i="16"/>
  <c r="S85" i="13"/>
  <c r="V36" i="13"/>
  <c r="V25" i="13"/>
  <c r="V21" i="13"/>
  <c r="V55" i="13"/>
  <c r="H65" i="17"/>
  <c r="V52" i="13"/>
  <c r="V41" i="13"/>
  <c r="V54" i="13"/>
  <c r="V53" i="13"/>
  <c r="V44" i="13"/>
  <c r="V43" i="13"/>
  <c r="V17" i="13"/>
  <c r="V6" i="13"/>
  <c r="V42" i="13"/>
  <c r="V35" i="13"/>
  <c r="V31" i="13"/>
  <c r="V20" i="13"/>
  <c r="V11" i="13"/>
  <c r="V30" i="13"/>
  <c r="V8" i="13"/>
  <c r="V46" i="13"/>
  <c r="V37" i="13"/>
  <c r="V22" i="13"/>
  <c r="V15" i="13"/>
  <c r="V12" i="13"/>
  <c r="V34" i="13"/>
  <c r="V16" i="13"/>
  <c r="V47" i="13"/>
  <c r="V23" i="13"/>
  <c r="V7" i="13"/>
  <c r="V38" i="13"/>
  <c r="V19" i="13"/>
  <c r="V10" i="13"/>
  <c r="V45" i="13"/>
  <c r="V9" i="13"/>
  <c r="V51" i="13"/>
  <c r="V33" i="13"/>
  <c r="V18" i="13"/>
  <c r="V32" i="13"/>
  <c r="V5" i="13"/>
  <c r="V29" i="13"/>
  <c r="D50" i="17"/>
  <c r="F44" i="16"/>
  <c r="F36" i="16"/>
  <c r="F32" i="16"/>
  <c r="F26" i="16"/>
  <c r="F25" i="16"/>
  <c r="O52" i="14"/>
  <c r="Q21" i="14"/>
  <c r="D86" i="17"/>
  <c r="F57" i="13"/>
  <c r="B83" i="17"/>
  <c r="B45" i="17"/>
  <c r="B17" i="14"/>
  <c r="D24" i="16"/>
  <c r="M42" i="14"/>
  <c r="D14" i="16"/>
  <c r="M10" i="14"/>
  <c r="B12" i="14"/>
  <c r="E33" i="18"/>
  <c r="O57" i="11"/>
  <c r="H32" i="11"/>
  <c r="R29" i="11"/>
  <c r="Q18" i="10"/>
  <c r="G23" i="10"/>
  <c r="C23" i="10"/>
  <c r="M18" i="10"/>
  <c r="M60" i="9"/>
  <c r="G8" i="8"/>
  <c r="G9" i="8"/>
  <c r="R41" i="5"/>
  <c r="O89" i="5"/>
  <c r="H51" i="5"/>
  <c r="N47" i="5"/>
  <c r="N32" i="5"/>
  <c r="N15" i="5"/>
  <c r="N7" i="5"/>
  <c r="E22" i="8"/>
  <c r="N46" i="5"/>
  <c r="N39" i="5"/>
  <c r="N31" i="5"/>
  <c r="N6" i="5"/>
  <c r="M74" i="5"/>
  <c r="E13" i="8"/>
  <c r="N45" i="5"/>
  <c r="N38" i="5"/>
  <c r="N30" i="5"/>
  <c r="N25" i="5"/>
  <c r="N17" i="5"/>
  <c r="N9" i="5"/>
  <c r="N48" i="5"/>
  <c r="N33" i="5"/>
  <c r="N26" i="5"/>
  <c r="N18" i="5"/>
  <c r="N10" i="5"/>
  <c r="N50" i="5"/>
  <c r="N49" i="5"/>
  <c r="N43" i="5"/>
  <c r="N35" i="5"/>
  <c r="N34" i="5"/>
  <c r="N27" i="5"/>
  <c r="N19" i="5"/>
  <c r="N11" i="5"/>
  <c r="N5" i="5"/>
  <c r="N44" i="5"/>
  <c r="N37" i="5"/>
  <c r="N29" i="5"/>
  <c r="N20" i="5"/>
  <c r="N12" i="5"/>
  <c r="N40" i="5"/>
  <c r="N8" i="5"/>
  <c r="N16" i="5"/>
  <c r="N22" i="5"/>
  <c r="C25" i="18"/>
  <c r="C61" i="9"/>
  <c r="M61" i="9" s="1"/>
  <c r="M46" i="9"/>
  <c r="C13" i="6"/>
  <c r="M13" i="6" s="1"/>
  <c r="C16" i="6"/>
  <c r="M11" i="6"/>
  <c r="C33" i="18"/>
  <c r="F8" i="8"/>
  <c r="F51" i="5"/>
  <c r="F9" i="8"/>
  <c r="N89" i="5"/>
  <c r="P41" i="5"/>
  <c r="D30" i="8"/>
  <c r="D16" i="8"/>
  <c r="D11" i="8"/>
  <c r="D42" i="8"/>
  <c r="C44" i="18" s="1"/>
  <c r="L13" i="6"/>
  <c r="S46" i="9"/>
  <c r="C27" i="7"/>
  <c r="M27" i="7" s="1"/>
  <c r="M24" i="7"/>
  <c r="O23" i="3"/>
  <c r="E25" i="3"/>
  <c r="O25" i="3" s="1"/>
  <c r="T24" i="7"/>
  <c r="J27" i="7"/>
  <c r="T27" i="7" s="1"/>
  <c r="H8" i="8"/>
  <c r="H9" i="8"/>
  <c r="S41" i="5"/>
  <c r="P89" i="5"/>
  <c r="I51" i="5"/>
  <c r="Q23" i="3"/>
  <c r="G25" i="3"/>
  <c r="Q25" i="3" s="1"/>
  <c r="P52" i="7"/>
  <c r="I20" i="6"/>
  <c r="P44" i="6"/>
  <c r="S16" i="6"/>
  <c r="F23" i="18"/>
  <c r="M37" i="3"/>
  <c r="S21" i="5"/>
  <c r="I31" i="4"/>
  <c r="I11" i="4"/>
  <c r="I16" i="4"/>
  <c r="T13" i="2"/>
  <c r="M26" i="29"/>
  <c r="C28" i="29"/>
  <c r="M28" i="29" s="1"/>
  <c r="I9" i="30"/>
  <c r="J34" i="27"/>
  <c r="T34" i="27" s="1"/>
  <c r="I8" i="30"/>
  <c r="T27" i="27"/>
  <c r="H30" i="30"/>
  <c r="H16" i="30"/>
  <c r="H11" i="30"/>
  <c r="S13" i="28"/>
  <c r="P34" i="28"/>
  <c r="M13" i="28"/>
  <c r="O26" i="25"/>
  <c r="E28" i="25"/>
  <c r="O28" i="25" s="1"/>
  <c r="N20" i="23"/>
  <c r="N11" i="23"/>
  <c r="N19" i="23"/>
  <c r="E13" i="26"/>
  <c r="N29" i="23"/>
  <c r="N13" i="23"/>
  <c r="N5" i="23"/>
  <c r="M50" i="23"/>
  <c r="N32" i="23"/>
  <c r="N25" i="23"/>
  <c r="N6" i="23"/>
  <c r="E23" i="26"/>
  <c r="N16" i="23"/>
  <c r="N7" i="23"/>
  <c r="N31" i="23"/>
  <c r="N24" i="23"/>
  <c r="N21" i="23"/>
  <c r="N12" i="23"/>
  <c r="N30" i="23"/>
  <c r="N8" i="23"/>
  <c r="N22" i="23"/>
  <c r="H4" i="18"/>
  <c r="I9" i="26"/>
  <c r="T27" i="23"/>
  <c r="I8" i="26"/>
  <c r="J34" i="23"/>
  <c r="T34" i="23" s="1"/>
  <c r="G20" i="20"/>
  <c r="Q16" i="20"/>
  <c r="G4" i="18"/>
  <c r="I8" i="22"/>
  <c r="N38" i="20"/>
  <c r="P16" i="20"/>
  <c r="F20" i="20"/>
  <c r="H9" i="22"/>
  <c r="H8" i="22"/>
  <c r="I34" i="19"/>
  <c r="P56" i="19"/>
  <c r="S27" i="19"/>
  <c r="G25" i="21"/>
  <c r="Q23" i="21"/>
  <c r="G23" i="18"/>
  <c r="E23" i="22"/>
  <c r="E13" i="22"/>
  <c r="N30" i="19"/>
  <c r="N6" i="19"/>
  <c r="N20" i="19"/>
  <c r="N11" i="19"/>
  <c r="N32" i="19"/>
  <c r="N25" i="19"/>
  <c r="N8" i="19"/>
  <c r="N31" i="19"/>
  <c r="N24" i="19"/>
  <c r="N14" i="19"/>
  <c r="N7" i="19"/>
  <c r="N29" i="19"/>
  <c r="M50" i="19"/>
  <c r="N19" i="19"/>
  <c r="N13" i="19"/>
  <c r="N33" i="19"/>
  <c r="N16" i="19"/>
  <c r="N21" i="19"/>
  <c r="N12" i="19"/>
  <c r="N5" i="19"/>
  <c r="S37" i="13"/>
  <c r="S29" i="13"/>
  <c r="S22" i="13"/>
  <c r="S51" i="13"/>
  <c r="S53" i="13"/>
  <c r="S42" i="13"/>
  <c r="S33" i="13"/>
  <c r="S25" i="13"/>
  <c r="S18" i="13"/>
  <c r="S7" i="13"/>
  <c r="S46" i="13"/>
  <c r="S45" i="13"/>
  <c r="S15" i="13"/>
  <c r="S12" i="13"/>
  <c r="S44" i="13"/>
  <c r="S36" i="13"/>
  <c r="S32" i="13"/>
  <c r="S21" i="13"/>
  <c r="S9" i="13"/>
  <c r="S16" i="13"/>
  <c r="S5" i="13"/>
  <c r="S54" i="13"/>
  <c r="S6" i="13"/>
  <c r="S30" i="13"/>
  <c r="S19" i="13"/>
  <c r="S10" i="13"/>
  <c r="S34" i="13"/>
  <c r="S31" i="13"/>
  <c r="S20" i="13"/>
  <c r="S17" i="13"/>
  <c r="S11" i="13"/>
  <c r="P85" i="13"/>
  <c r="S41" i="13"/>
  <c r="S55" i="13"/>
  <c r="S13" i="13"/>
  <c r="S43" i="13"/>
  <c r="S38" i="13"/>
  <c r="S35" i="13"/>
  <c r="S8" i="13"/>
  <c r="S23" i="13"/>
  <c r="N34" i="15"/>
  <c r="C37" i="15"/>
  <c r="N37" i="15" s="1"/>
  <c r="Q29" i="11"/>
  <c r="G32" i="11"/>
  <c r="Q32" i="11" s="1"/>
  <c r="P46" i="9"/>
  <c r="F61" i="9"/>
  <c r="N102" i="9"/>
  <c r="B97" i="17"/>
  <c r="E4" i="18"/>
  <c r="B100" i="17"/>
  <c r="E23" i="18"/>
  <c r="H49" i="17"/>
  <c r="S48" i="14"/>
  <c r="V17" i="14"/>
  <c r="K21" i="14"/>
  <c r="I32" i="12"/>
  <c r="I9" i="12"/>
  <c r="I40" i="12"/>
  <c r="I10" i="12"/>
  <c r="T60" i="9"/>
  <c r="E27" i="7"/>
  <c r="O27" i="7" s="1"/>
  <c r="O24" i="7"/>
  <c r="O84" i="9"/>
  <c r="M60" i="11"/>
  <c r="N32" i="11"/>
  <c r="O11" i="10"/>
  <c r="E13" i="10"/>
  <c r="O13" i="10" s="1"/>
  <c r="E18" i="10"/>
  <c r="F8" i="12"/>
  <c r="N21" i="5"/>
  <c r="C4" i="18"/>
  <c r="F6" i="18"/>
  <c r="J61" i="9"/>
  <c r="T61" i="9" s="1"/>
  <c r="T46" i="9"/>
  <c r="D6" i="18"/>
  <c r="L39" i="6"/>
  <c r="E8" i="8"/>
  <c r="N60" i="9"/>
  <c r="F17" i="18"/>
  <c r="E31" i="4"/>
  <c r="E11" i="4"/>
  <c r="M35" i="2"/>
  <c r="E16" i="4"/>
  <c r="N13" i="2"/>
  <c r="L33" i="2"/>
  <c r="B13" i="2"/>
  <c r="D17" i="4"/>
  <c r="D12" i="4"/>
  <c r="L11" i="2"/>
  <c r="B16" i="2"/>
  <c r="F33" i="18"/>
  <c r="M39" i="3"/>
  <c r="N25" i="3"/>
  <c r="L14" i="1"/>
  <c r="D13" i="4"/>
  <c r="L5" i="1"/>
  <c r="L51" i="1"/>
  <c r="D23" i="4"/>
  <c r="L30" i="1"/>
  <c r="L29" i="1"/>
  <c r="L24" i="1"/>
  <c r="L20" i="1"/>
  <c r="L19" i="1"/>
  <c r="L16" i="1"/>
  <c r="L13" i="1"/>
  <c r="L12" i="1"/>
  <c r="L7" i="1"/>
  <c r="L9" i="1"/>
  <c r="L33" i="1"/>
  <c r="L34" i="1"/>
  <c r="L26" i="1"/>
  <c r="L8" i="1"/>
  <c r="L6" i="1"/>
  <c r="L20" i="6"/>
  <c r="B23" i="6"/>
  <c r="O16" i="2"/>
  <c r="E20" i="2"/>
  <c r="I5" i="18"/>
  <c r="G42" i="30"/>
  <c r="R13" i="28"/>
  <c r="G30" i="30"/>
  <c r="G16" i="30"/>
  <c r="G11" i="30"/>
  <c r="O34" i="28"/>
  <c r="F17" i="30"/>
  <c r="F12" i="30"/>
  <c r="I20" i="18" s="1"/>
  <c r="P11" i="28"/>
  <c r="F16" i="28"/>
  <c r="F13" i="28"/>
  <c r="N32" i="28"/>
  <c r="P39" i="29"/>
  <c r="I28" i="29"/>
  <c r="S26" i="29"/>
  <c r="Q32" i="23"/>
  <c r="Q25" i="23"/>
  <c r="Q8" i="23"/>
  <c r="Q31" i="23"/>
  <c r="Q24" i="23"/>
  <c r="Q7" i="23"/>
  <c r="Q29" i="23"/>
  <c r="Q16" i="23"/>
  <c r="Q30" i="23"/>
  <c r="Q19" i="23"/>
  <c r="Q9" i="23"/>
  <c r="Q13" i="23"/>
  <c r="Q5" i="23"/>
  <c r="Q21" i="23"/>
  <c r="Q12" i="23"/>
  <c r="Q22" i="23"/>
  <c r="Q20" i="23"/>
  <c r="Q6" i="23"/>
  <c r="Q11" i="23"/>
  <c r="C28" i="25"/>
  <c r="M28" i="25" s="1"/>
  <c r="M26" i="25"/>
  <c r="B14" i="24"/>
  <c r="D12" i="26"/>
  <c r="H20" i="18" s="1"/>
  <c r="D17" i="26"/>
  <c r="H25" i="18" s="1"/>
  <c r="B17" i="24"/>
  <c r="L35" i="24"/>
  <c r="L12" i="24"/>
  <c r="H33" i="18"/>
  <c r="C20" i="20"/>
  <c r="M16" i="20"/>
  <c r="B16" i="20"/>
  <c r="D12" i="22"/>
  <c r="L33" i="20"/>
  <c r="B13" i="20"/>
  <c r="L11" i="20"/>
  <c r="D17" i="22"/>
  <c r="G33" i="18"/>
  <c r="G34" i="22"/>
  <c r="G19" i="22"/>
  <c r="G21" i="22"/>
  <c r="G18" i="22"/>
  <c r="G20" i="22"/>
  <c r="R20" i="20"/>
  <c r="H21" i="20"/>
  <c r="P22" i="23"/>
  <c r="T27" i="19"/>
  <c r="E34" i="19"/>
  <c r="O34" i="19" s="1"/>
  <c r="O27" i="19"/>
  <c r="E9" i="22"/>
  <c r="E8" i="22"/>
  <c r="M56" i="19"/>
  <c r="D34" i="19"/>
  <c r="N27" i="19"/>
  <c r="C72" i="17"/>
  <c r="N104" i="13"/>
  <c r="O48" i="13"/>
  <c r="C32" i="17"/>
  <c r="E9" i="16"/>
  <c r="S67" i="15"/>
  <c r="V34" i="15"/>
  <c r="K37" i="15"/>
  <c r="C97" i="17"/>
  <c r="S47" i="13"/>
  <c r="V13" i="13"/>
  <c r="N10" i="14"/>
  <c r="C17" i="14"/>
  <c r="C12" i="14"/>
  <c r="N12" i="14" s="1"/>
  <c r="G37" i="15"/>
  <c r="R37" i="15" s="1"/>
  <c r="R34" i="15"/>
  <c r="H84" i="17"/>
  <c r="H46" i="17"/>
  <c r="J28" i="16"/>
  <c r="J23" i="16"/>
  <c r="H101" i="17" s="1"/>
  <c r="J12" i="16"/>
  <c r="H99" i="17" s="1"/>
  <c r="V12" i="14"/>
  <c r="S44" i="14"/>
  <c r="D9" i="12"/>
  <c r="D32" i="12"/>
  <c r="D40" i="18" s="1"/>
  <c r="D10" i="12"/>
  <c r="L60" i="9"/>
  <c r="D40" i="12"/>
  <c r="D43" i="18" s="1"/>
  <c r="L114" i="9"/>
  <c r="P60" i="11"/>
  <c r="S32" i="11"/>
  <c r="I8" i="12"/>
  <c r="T59" i="9"/>
  <c r="T52" i="9"/>
  <c r="T44" i="9"/>
  <c r="T36" i="9"/>
  <c r="T28" i="9"/>
  <c r="T19" i="9"/>
  <c r="T11" i="9"/>
  <c r="T51" i="9"/>
  <c r="T43" i="9"/>
  <c r="T35" i="9"/>
  <c r="T24" i="9"/>
  <c r="T18" i="9"/>
  <c r="T10" i="9"/>
  <c r="I21" i="12"/>
  <c r="T50" i="9"/>
  <c r="T42" i="9"/>
  <c r="T34" i="9"/>
  <c r="T17" i="9"/>
  <c r="T9" i="9"/>
  <c r="T53" i="9"/>
  <c r="T37" i="9"/>
  <c r="T29" i="9"/>
  <c r="T20" i="9"/>
  <c r="T12" i="9"/>
  <c r="T16" i="9"/>
  <c r="T8" i="9"/>
  <c r="T55" i="9"/>
  <c r="T32" i="9"/>
  <c r="T45" i="9"/>
  <c r="T6" i="9"/>
  <c r="T49" i="9"/>
  <c r="T30" i="9"/>
  <c r="T56" i="9"/>
  <c r="T41" i="9"/>
  <c r="T33" i="9"/>
  <c r="T14" i="9"/>
  <c r="T7" i="9"/>
  <c r="T57" i="9"/>
  <c r="T38" i="9"/>
  <c r="T5" i="9"/>
  <c r="T13" i="9"/>
  <c r="T31" i="9"/>
  <c r="T22" i="9"/>
  <c r="T54" i="9"/>
  <c r="T21" i="9"/>
  <c r="O11" i="6"/>
  <c r="E13" i="6"/>
  <c r="O13" i="6" s="1"/>
  <c r="E16" i="6"/>
  <c r="E72" i="17"/>
  <c r="E32" i="17"/>
  <c r="R48" i="13"/>
  <c r="G9" i="16"/>
  <c r="R85" i="13"/>
  <c r="G65" i="17"/>
  <c r="O67" i="15"/>
  <c r="F37" i="15"/>
  <c r="Q34" i="15"/>
  <c r="S58" i="9"/>
  <c r="G51" i="5"/>
  <c r="Q51" i="5" s="1"/>
  <c r="Q41" i="5"/>
  <c r="R16" i="6"/>
  <c r="O44" i="6"/>
  <c r="H20" i="6"/>
  <c r="I20" i="2"/>
  <c r="S16" i="2"/>
  <c r="P38" i="2"/>
  <c r="D5" i="18"/>
  <c r="C20" i="18"/>
  <c r="D23" i="18"/>
  <c r="P55" i="7"/>
  <c r="S27" i="7"/>
  <c r="O52" i="7"/>
  <c r="R24" i="7"/>
  <c r="H27" i="7"/>
  <c r="S24" i="1"/>
  <c r="S6" i="1"/>
  <c r="H23" i="4"/>
  <c r="S5" i="1"/>
  <c r="H13" i="4"/>
  <c r="P51" i="1"/>
  <c r="S20" i="1"/>
  <c r="S19" i="1"/>
  <c r="S16" i="1"/>
  <c r="S15" i="1"/>
  <c r="S14" i="1"/>
  <c r="S13" i="1"/>
  <c r="S12" i="1"/>
  <c r="S29" i="1"/>
  <c r="S8" i="1"/>
  <c r="S27" i="1"/>
  <c r="S22" i="1"/>
  <c r="S30" i="1"/>
  <c r="S9" i="1"/>
  <c r="S7" i="1"/>
  <c r="R10" i="1"/>
  <c r="F4" i="18"/>
  <c r="R15" i="1"/>
  <c r="E21" i="4"/>
  <c r="E30" i="4"/>
  <c r="E19" i="4"/>
  <c r="M42" i="2"/>
  <c r="E35" i="4"/>
  <c r="E20" i="4"/>
  <c r="E18" i="4"/>
  <c r="N20" i="2"/>
  <c r="D21" i="2"/>
  <c r="R26" i="29"/>
  <c r="O39" i="29"/>
  <c r="H28" i="29"/>
  <c r="M39" i="29"/>
  <c r="N26" i="29"/>
  <c r="D28" i="29"/>
  <c r="I19" i="28"/>
  <c r="P37" i="28"/>
  <c r="S16" i="28"/>
  <c r="B34" i="27"/>
  <c r="D8" i="30"/>
  <c r="D9" i="30"/>
  <c r="L27" i="27"/>
  <c r="L56" i="27"/>
  <c r="T26" i="29"/>
  <c r="J28" i="29"/>
  <c r="T28" i="29" s="1"/>
  <c r="C34" i="27"/>
  <c r="M34" i="27" s="1"/>
  <c r="M27" i="27"/>
  <c r="O37" i="28"/>
  <c r="H19" i="28"/>
  <c r="R16" i="28"/>
  <c r="F8" i="30"/>
  <c r="F9" i="30"/>
  <c r="N56" i="27"/>
  <c r="F34" i="27"/>
  <c r="P27" i="27"/>
  <c r="Q33" i="23"/>
  <c r="Q30" i="27"/>
  <c r="Q6" i="27"/>
  <c r="Q13" i="27"/>
  <c r="Q5" i="27"/>
  <c r="Q12" i="27"/>
  <c r="Q14" i="27"/>
  <c r="Q7" i="27"/>
  <c r="Q24" i="27"/>
  <c r="Q8" i="27"/>
  <c r="Q33" i="27"/>
  <c r="Q21" i="27"/>
  <c r="Q19" i="27"/>
  <c r="Q29" i="27"/>
  <c r="Q31" i="27"/>
  <c r="Q20" i="27"/>
  <c r="Q16" i="27"/>
  <c r="Q32" i="27"/>
  <c r="Q25" i="27"/>
  <c r="Q11" i="27"/>
  <c r="E8" i="26"/>
  <c r="D34" i="23"/>
  <c r="N27" i="23"/>
  <c r="M56" i="23"/>
  <c r="E9" i="26"/>
  <c r="N33" i="23"/>
  <c r="N9" i="23"/>
  <c r="H23" i="18"/>
  <c r="I21" i="24"/>
  <c r="P40" i="24"/>
  <c r="S17" i="24"/>
  <c r="M31" i="19"/>
  <c r="M24" i="19"/>
  <c r="M7" i="19"/>
  <c r="M21" i="19"/>
  <c r="M12" i="19"/>
  <c r="M16" i="19"/>
  <c r="M32" i="19"/>
  <c r="M25" i="19"/>
  <c r="M8" i="19"/>
  <c r="M26" i="19"/>
  <c r="M13" i="19"/>
  <c r="M20" i="19"/>
  <c r="M11" i="19"/>
  <c r="M5" i="19"/>
  <c r="M30" i="19"/>
  <c r="M33" i="19"/>
  <c r="M22" i="19"/>
  <c r="M19" i="19"/>
  <c r="M29" i="19"/>
  <c r="M9" i="19"/>
  <c r="M6" i="19"/>
  <c r="Q27" i="23"/>
  <c r="M34" i="19"/>
  <c r="Q26" i="19"/>
  <c r="L27" i="19"/>
  <c r="P34" i="15"/>
  <c r="E37" i="15"/>
  <c r="P37" i="15" s="1"/>
  <c r="E24" i="16"/>
  <c r="N42" i="14"/>
  <c r="C83" i="17"/>
  <c r="C45" i="17"/>
  <c r="E14" i="16"/>
  <c r="C105" i="17" s="1"/>
  <c r="O10" i="14"/>
  <c r="D12" i="14"/>
  <c r="D17" i="14"/>
  <c r="B98" i="17"/>
  <c r="N36" i="13"/>
  <c r="N25" i="13"/>
  <c r="N21" i="13"/>
  <c r="N55" i="13"/>
  <c r="N52" i="13"/>
  <c r="N41" i="13"/>
  <c r="N35" i="13"/>
  <c r="N31" i="13"/>
  <c r="N20" i="13"/>
  <c r="N17" i="13"/>
  <c r="N6" i="13"/>
  <c r="N47" i="13"/>
  <c r="N30" i="13"/>
  <c r="N11" i="13"/>
  <c r="N34" i="13"/>
  <c r="N19" i="13"/>
  <c r="N8" i="13"/>
  <c r="N44" i="13"/>
  <c r="N43" i="13"/>
  <c r="N32" i="13"/>
  <c r="N15" i="13"/>
  <c r="N12" i="13"/>
  <c r="N46" i="13"/>
  <c r="N33" i="13"/>
  <c r="N18" i="13"/>
  <c r="N5" i="13"/>
  <c r="N54" i="13"/>
  <c r="N9" i="13"/>
  <c r="N22" i="13"/>
  <c r="N10" i="13"/>
  <c r="N51" i="13"/>
  <c r="N45" i="13"/>
  <c r="N39" i="13"/>
  <c r="N29" i="13"/>
  <c r="N53" i="13"/>
  <c r="N23" i="13"/>
  <c r="N37" i="13"/>
  <c r="N7" i="13"/>
  <c r="N42" i="13"/>
  <c r="N24" i="13"/>
  <c r="N16" i="13"/>
  <c r="N38" i="13"/>
  <c r="F35" i="17"/>
  <c r="F30" i="17"/>
  <c r="F29" i="17"/>
  <c r="F28" i="17"/>
  <c r="F25" i="17"/>
  <c r="F24" i="17"/>
  <c r="F23" i="17"/>
  <c r="F22" i="17"/>
  <c r="F19" i="17"/>
  <c r="F17" i="17"/>
  <c r="F16" i="17"/>
  <c r="F15" i="17"/>
  <c r="F14" i="17"/>
  <c r="F13" i="17"/>
  <c r="F10" i="17"/>
  <c r="F9" i="17"/>
  <c r="F8" i="17"/>
  <c r="F7" i="17"/>
  <c r="F6" i="17"/>
  <c r="F5" i="17"/>
  <c r="H16" i="16"/>
  <c r="T51" i="13"/>
  <c r="T45" i="13"/>
  <c r="T34" i="13"/>
  <c r="T19" i="13"/>
  <c r="T53" i="13"/>
  <c r="Q85" i="13"/>
  <c r="F65" i="17"/>
  <c r="T52" i="13"/>
  <c r="T46" i="13"/>
  <c r="T37" i="13"/>
  <c r="T22" i="13"/>
  <c r="T15" i="13"/>
  <c r="T12" i="13"/>
  <c r="T44" i="13"/>
  <c r="T36" i="13"/>
  <c r="T32" i="13"/>
  <c r="T21" i="13"/>
  <c r="T9" i="13"/>
  <c r="T55" i="13"/>
  <c r="T54" i="13"/>
  <c r="T43" i="13"/>
  <c r="T42" i="13"/>
  <c r="T41" i="13"/>
  <c r="T31" i="13"/>
  <c r="T17" i="13"/>
  <c r="T6" i="13"/>
  <c r="T38" i="13"/>
  <c r="T29" i="13"/>
  <c r="T23" i="13"/>
  <c r="T10" i="13"/>
  <c r="T30" i="13"/>
  <c r="T25" i="13"/>
  <c r="T20" i="13"/>
  <c r="T16" i="13"/>
  <c r="T11" i="13"/>
  <c r="T35" i="13"/>
  <c r="T7" i="13"/>
  <c r="T33" i="13"/>
  <c r="T5" i="13"/>
  <c r="T13" i="13"/>
  <c r="T8" i="13"/>
  <c r="T18" i="13"/>
  <c r="T39" i="13"/>
  <c r="H61" i="9"/>
  <c r="R46" i="9"/>
  <c r="G8" i="12"/>
  <c r="O102" i="9"/>
  <c r="F45" i="17"/>
  <c r="H24" i="16"/>
  <c r="H14" i="16"/>
  <c r="F105" i="17" s="1"/>
  <c r="I17" i="14"/>
  <c r="F83" i="17"/>
  <c r="Q42" i="14"/>
  <c r="I12" i="14"/>
  <c r="T10" i="14"/>
  <c r="O114" i="9"/>
  <c r="R60" i="9"/>
  <c r="G32" i="12"/>
  <c r="G9" i="12"/>
  <c r="G10" i="12"/>
  <c r="S48" i="13"/>
  <c r="H27" i="10"/>
  <c r="O54" i="10"/>
  <c r="R23" i="10"/>
  <c r="D8" i="12"/>
  <c r="L59" i="9"/>
  <c r="L52" i="9"/>
  <c r="L44" i="9"/>
  <c r="L36" i="9"/>
  <c r="L28" i="9"/>
  <c r="L19" i="9"/>
  <c r="L11" i="9"/>
  <c r="L84" i="9"/>
  <c r="L51" i="9"/>
  <c r="L43" i="9"/>
  <c r="L35" i="9"/>
  <c r="L24" i="9"/>
  <c r="L18" i="9"/>
  <c r="L10" i="9"/>
  <c r="L50" i="9"/>
  <c r="L42" i="9"/>
  <c r="L34" i="9"/>
  <c r="L17" i="9"/>
  <c r="L9" i="9"/>
  <c r="L53" i="9"/>
  <c r="L37" i="9"/>
  <c r="L29" i="9"/>
  <c r="L20" i="9"/>
  <c r="L12" i="9"/>
  <c r="L56" i="9"/>
  <c r="L41" i="9"/>
  <c r="L33" i="9"/>
  <c r="L14" i="9"/>
  <c r="L7" i="9"/>
  <c r="L54" i="9"/>
  <c r="L31" i="9"/>
  <c r="L22" i="9"/>
  <c r="L57" i="9"/>
  <c r="L38" i="9"/>
  <c r="L23" i="9"/>
  <c r="L16" i="9"/>
  <c r="L8" i="9"/>
  <c r="L55" i="9"/>
  <c r="L32" i="9"/>
  <c r="D21" i="12"/>
  <c r="D8" i="18" s="1"/>
  <c r="L49" i="9"/>
  <c r="L30" i="9"/>
  <c r="L21" i="9"/>
  <c r="L13" i="9"/>
  <c r="L45" i="9"/>
  <c r="L6" i="9"/>
  <c r="L5" i="9"/>
  <c r="P57" i="13"/>
  <c r="E65" i="17"/>
  <c r="E28" i="17"/>
  <c r="E17" i="17"/>
  <c r="E8" i="17"/>
  <c r="R54" i="13"/>
  <c r="R43" i="13"/>
  <c r="R32" i="13"/>
  <c r="E22" i="17"/>
  <c r="E25" i="17"/>
  <c r="E15" i="17"/>
  <c r="E6" i="17"/>
  <c r="G56" i="13"/>
  <c r="R51" i="13"/>
  <c r="R45" i="13"/>
  <c r="E29" i="17"/>
  <c r="E9" i="17"/>
  <c r="E23" i="17"/>
  <c r="E13" i="17"/>
  <c r="E16" i="17"/>
  <c r="E7" i="17"/>
  <c r="E30" i="17"/>
  <c r="E19" i="17"/>
  <c r="E10" i="17"/>
  <c r="E35" i="17"/>
  <c r="E24" i="17"/>
  <c r="E14" i="17"/>
  <c r="E5" i="17"/>
  <c r="R38" i="13"/>
  <c r="R23" i="13"/>
  <c r="R10" i="13"/>
  <c r="R53" i="13"/>
  <c r="R37" i="13"/>
  <c r="R33" i="13"/>
  <c r="R25" i="13"/>
  <c r="R22" i="13"/>
  <c r="R18" i="13"/>
  <c r="R7" i="13"/>
  <c r="R52" i="13"/>
  <c r="R46" i="13"/>
  <c r="R15" i="13"/>
  <c r="R12" i="13"/>
  <c r="G16" i="16"/>
  <c r="R34" i="13"/>
  <c r="R30" i="13"/>
  <c r="R19" i="13"/>
  <c r="R8" i="13"/>
  <c r="R41" i="13"/>
  <c r="R5" i="13"/>
  <c r="R44" i="13"/>
  <c r="R6" i="13"/>
  <c r="R42" i="13"/>
  <c r="R31" i="13"/>
  <c r="R16" i="13"/>
  <c r="R9" i="13"/>
  <c r="R20" i="13"/>
  <c r="R17" i="13"/>
  <c r="R55" i="13"/>
  <c r="R29" i="13"/>
  <c r="R36" i="13"/>
  <c r="R11" i="13"/>
  <c r="R21" i="13"/>
  <c r="R35" i="13"/>
  <c r="R39" i="13"/>
  <c r="J32" i="11"/>
  <c r="T32" i="11" s="1"/>
  <c r="T29" i="11"/>
  <c r="E30" i="8"/>
  <c r="E16" i="8"/>
  <c r="E11" i="8"/>
  <c r="M41" i="6"/>
  <c r="N13" i="6"/>
  <c r="T39" i="9"/>
  <c r="D4" i="18"/>
  <c r="L40" i="5"/>
  <c r="C32" i="11"/>
  <c r="M32" i="11" s="1"/>
  <c r="M29" i="11"/>
  <c r="T13" i="6"/>
  <c r="I30" i="8"/>
  <c r="I16" i="8"/>
  <c r="I11" i="8"/>
  <c r="M98" i="5"/>
  <c r="N51" i="5"/>
  <c r="S10" i="1"/>
  <c r="G20" i="2"/>
  <c r="Q16" i="2"/>
  <c r="O19" i="1"/>
  <c r="O30" i="1"/>
  <c r="O29" i="1"/>
  <c r="O24" i="1"/>
  <c r="O16" i="1"/>
  <c r="O6" i="1"/>
  <c r="O7" i="1"/>
  <c r="O33" i="1"/>
  <c r="O20" i="1"/>
  <c r="O13" i="1"/>
  <c r="O5" i="1"/>
  <c r="O8" i="1"/>
  <c r="O14" i="1"/>
  <c r="O12" i="1"/>
  <c r="O9" i="1"/>
  <c r="T14" i="1"/>
  <c r="I23" i="4"/>
  <c r="T5" i="1"/>
  <c r="T33" i="1"/>
  <c r="I13" i="4"/>
  <c r="T30" i="1"/>
  <c r="T29" i="1"/>
  <c r="T9" i="1"/>
  <c r="T8" i="1"/>
  <c r="T7" i="1"/>
  <c r="T20" i="1"/>
  <c r="T16" i="1"/>
  <c r="T13" i="1"/>
  <c r="T6" i="1"/>
  <c r="T19" i="1"/>
  <c r="T12" i="1"/>
  <c r="T24" i="1"/>
  <c r="E8" i="4"/>
  <c r="F15" i="18" s="1"/>
  <c r="E9" i="4"/>
  <c r="F16" i="18" s="1"/>
  <c r="D34" i="1"/>
  <c r="N27" i="1"/>
  <c r="M57" i="1"/>
  <c r="T15" i="1"/>
  <c r="P38" i="25"/>
  <c r="S26" i="25"/>
  <c r="I28" i="25"/>
  <c r="Q26" i="23"/>
  <c r="F30" i="26"/>
  <c r="N37" i="24"/>
  <c r="F11" i="26"/>
  <c r="F16" i="26"/>
  <c r="P14" i="24"/>
  <c r="E17" i="24"/>
  <c r="M35" i="24"/>
  <c r="E14" i="24"/>
  <c r="O12" i="24"/>
  <c r="O27" i="27"/>
  <c r="E34" i="27"/>
  <c r="O34" i="27" s="1"/>
  <c r="M21" i="24"/>
  <c r="C22" i="24"/>
  <c r="L25" i="21"/>
  <c r="G6" i="18"/>
  <c r="E19" i="26"/>
  <c r="S14" i="24"/>
  <c r="H11" i="26"/>
  <c r="H30" i="26"/>
  <c r="P37" i="24"/>
  <c r="H16" i="26"/>
  <c r="H42" i="26"/>
  <c r="T26" i="19"/>
  <c r="E20" i="20"/>
  <c r="O16" i="20"/>
  <c r="M14" i="19"/>
  <c r="Q34" i="23"/>
  <c r="M27" i="19"/>
  <c r="Q14" i="19"/>
  <c r="L34" i="19"/>
  <c r="L60" i="19"/>
  <c r="G5" i="18"/>
  <c r="P52" i="13"/>
  <c r="P41" i="13"/>
  <c r="P38" i="13"/>
  <c r="P30" i="13"/>
  <c r="P23" i="13"/>
  <c r="P54" i="13"/>
  <c r="P43" i="13"/>
  <c r="P34" i="13"/>
  <c r="P19" i="13"/>
  <c r="P8" i="13"/>
  <c r="P29" i="13"/>
  <c r="P16" i="13"/>
  <c r="P5" i="13"/>
  <c r="P51" i="13"/>
  <c r="P10" i="13"/>
  <c r="P55" i="13"/>
  <c r="P35" i="13"/>
  <c r="P31" i="13"/>
  <c r="P20" i="13"/>
  <c r="P17" i="13"/>
  <c r="P6" i="13"/>
  <c r="P46" i="13"/>
  <c r="P36" i="13"/>
  <c r="P33" i="13"/>
  <c r="P13" i="13"/>
  <c r="E56" i="13"/>
  <c r="P22" i="13"/>
  <c r="P15" i="13"/>
  <c r="P9" i="13"/>
  <c r="P37" i="13"/>
  <c r="P47" i="13"/>
  <c r="P44" i="13"/>
  <c r="P25" i="13"/>
  <c r="P21" i="13"/>
  <c r="P18" i="13"/>
  <c r="P32" i="13"/>
  <c r="P12" i="13"/>
  <c r="P7" i="13"/>
  <c r="P45" i="13"/>
  <c r="P42" i="13"/>
  <c r="P11" i="13"/>
  <c r="P53" i="13"/>
  <c r="D32" i="17"/>
  <c r="F9" i="16"/>
  <c r="D98" i="17" s="1"/>
  <c r="D72" i="17"/>
  <c r="Q48" i="13"/>
  <c r="O104" i="13"/>
  <c r="C65" i="17"/>
  <c r="P29" i="11"/>
  <c r="N57" i="11"/>
  <c r="F32" i="11"/>
  <c r="B30" i="17"/>
  <c r="B19" i="17"/>
  <c r="B10" i="17"/>
  <c r="D16" i="16"/>
  <c r="M53" i="13"/>
  <c r="M42" i="13"/>
  <c r="M31" i="13"/>
  <c r="B35" i="17"/>
  <c r="B24" i="17"/>
  <c r="B14" i="17"/>
  <c r="B5" i="17"/>
  <c r="B28" i="17"/>
  <c r="B17" i="17"/>
  <c r="B8" i="17"/>
  <c r="M55" i="13"/>
  <c r="M44" i="13"/>
  <c r="B22" i="17"/>
  <c r="B25" i="17"/>
  <c r="B15" i="17"/>
  <c r="B6" i="17"/>
  <c r="B65" i="17"/>
  <c r="B29" i="17"/>
  <c r="B9" i="17"/>
  <c r="B23" i="17"/>
  <c r="B13" i="17"/>
  <c r="B16" i="17"/>
  <c r="B7" i="17"/>
  <c r="M39" i="13"/>
  <c r="M24" i="13"/>
  <c r="M9" i="13"/>
  <c r="M35" i="13"/>
  <c r="M20" i="13"/>
  <c r="M17" i="13"/>
  <c r="M6" i="13"/>
  <c r="M85" i="13"/>
  <c r="M47" i="13"/>
  <c r="M30" i="13"/>
  <c r="M11" i="13"/>
  <c r="M54" i="13"/>
  <c r="M45" i="13"/>
  <c r="M37" i="13"/>
  <c r="M22" i="13"/>
  <c r="M18" i="13"/>
  <c r="M7" i="13"/>
  <c r="M51" i="13"/>
  <c r="M43" i="13"/>
  <c r="M32" i="13"/>
  <c r="M29" i="13"/>
  <c r="M21" i="13"/>
  <c r="M12" i="13"/>
  <c r="M8" i="13"/>
  <c r="M36" i="13"/>
  <c r="M52" i="13"/>
  <c r="M46" i="13"/>
  <c r="M41" i="13"/>
  <c r="M33" i="13"/>
  <c r="M5" i="13"/>
  <c r="M19" i="13"/>
  <c r="M15" i="13"/>
  <c r="M38" i="13"/>
  <c r="M23" i="13"/>
  <c r="M34" i="13"/>
  <c r="M25" i="13"/>
  <c r="M16" i="13"/>
  <c r="M10" i="13"/>
  <c r="M84" i="9"/>
  <c r="N50" i="9"/>
  <c r="N42" i="9"/>
  <c r="N34" i="9"/>
  <c r="N17" i="9"/>
  <c r="N9" i="9"/>
  <c r="N57" i="9"/>
  <c r="N49" i="9"/>
  <c r="N41" i="9"/>
  <c r="N33" i="9"/>
  <c r="N16" i="9"/>
  <c r="N8" i="9"/>
  <c r="N56" i="9"/>
  <c r="N32" i="9"/>
  <c r="N7" i="9"/>
  <c r="N51" i="9"/>
  <c r="N43" i="9"/>
  <c r="N35" i="9"/>
  <c r="N24" i="9"/>
  <c r="N18" i="9"/>
  <c r="N10" i="9"/>
  <c r="E8" i="12"/>
  <c r="N54" i="9"/>
  <c r="N31" i="9"/>
  <c r="N22" i="9"/>
  <c r="N59" i="9"/>
  <c r="N38" i="9"/>
  <c r="N5" i="9"/>
  <c r="N52" i="9"/>
  <c r="N29" i="9"/>
  <c r="N20" i="9"/>
  <c r="N12" i="9"/>
  <c r="N55" i="9"/>
  <c r="N44" i="9"/>
  <c r="N36" i="9"/>
  <c r="N6" i="9"/>
  <c r="N53" i="9"/>
  <c r="N30" i="9"/>
  <c r="N21" i="9"/>
  <c r="N13" i="9"/>
  <c r="E21" i="12"/>
  <c r="N28" i="9"/>
  <c r="N19" i="9"/>
  <c r="N11" i="9"/>
  <c r="N37" i="9"/>
  <c r="H26" i="12"/>
  <c r="H11" i="12"/>
  <c r="H15" i="12"/>
  <c r="P45" i="10"/>
  <c r="S13" i="10"/>
  <c r="M51" i="9"/>
  <c r="M43" i="9"/>
  <c r="M35" i="9"/>
  <c r="M24" i="9"/>
  <c r="M18" i="9"/>
  <c r="M10" i="9"/>
  <c r="M50" i="9"/>
  <c r="M42" i="9"/>
  <c r="M34" i="9"/>
  <c r="M17" i="9"/>
  <c r="M9" i="9"/>
  <c r="M57" i="9"/>
  <c r="M49" i="9"/>
  <c r="M41" i="9"/>
  <c r="M33" i="9"/>
  <c r="M16" i="9"/>
  <c r="M8" i="9"/>
  <c r="M59" i="9"/>
  <c r="M52" i="9"/>
  <c r="M44" i="9"/>
  <c r="M36" i="9"/>
  <c r="M28" i="9"/>
  <c r="M19" i="9"/>
  <c r="M11" i="9"/>
  <c r="M7" i="9"/>
  <c r="M54" i="9"/>
  <c r="M31" i="9"/>
  <c r="M22" i="9"/>
  <c r="M38" i="9"/>
  <c r="M5" i="9"/>
  <c r="M29" i="9"/>
  <c r="M55" i="9"/>
  <c r="M39" i="9"/>
  <c r="M32" i="9"/>
  <c r="M6" i="9"/>
  <c r="M56" i="9"/>
  <c r="M37" i="9"/>
  <c r="M13" i="9"/>
  <c r="M30" i="9"/>
  <c r="M12" i="9"/>
  <c r="M21" i="9"/>
  <c r="M53" i="9"/>
  <c r="M20" i="9"/>
  <c r="E37" i="17"/>
  <c r="R57" i="13"/>
  <c r="J9" i="16"/>
  <c r="H98" i="17" s="1"/>
  <c r="H32" i="12"/>
  <c r="H10" i="12"/>
  <c r="H9" i="12"/>
  <c r="P114" i="9"/>
  <c r="S60" i="9"/>
  <c r="C23" i="18"/>
  <c r="N23" i="9"/>
  <c r="T23" i="9"/>
  <c r="Q16" i="6"/>
  <c r="G20" i="6"/>
  <c r="M45" i="9"/>
  <c r="E12" i="12"/>
  <c r="E16" i="12"/>
  <c r="D18" i="10"/>
  <c r="M43" i="10"/>
  <c r="N11" i="10"/>
  <c r="D13" i="10"/>
  <c r="C25" i="3"/>
  <c r="M25" i="3" s="1"/>
  <c r="M23" i="3"/>
  <c r="F9" i="12"/>
  <c r="F16" i="2"/>
  <c r="F17" i="4"/>
  <c r="F12" i="4"/>
  <c r="N33" i="2"/>
  <c r="P11" i="2"/>
  <c r="F13" i="2"/>
  <c r="O39" i="3"/>
  <c r="R25" i="3"/>
  <c r="I25" i="3"/>
  <c r="P37" i="3"/>
  <c r="S23" i="3"/>
  <c r="G17" i="4"/>
  <c r="H13" i="2"/>
  <c r="R11" i="2"/>
  <c r="O33" i="2"/>
  <c r="G12" i="4"/>
  <c r="H16" i="2"/>
  <c r="F5" i="18"/>
  <c r="G23" i="4"/>
  <c r="G13" i="4"/>
  <c r="R8" i="1"/>
  <c r="R9" i="1"/>
  <c r="R7" i="1"/>
  <c r="R6" i="1"/>
  <c r="R30" i="1"/>
  <c r="R29" i="1"/>
  <c r="R26" i="1"/>
  <c r="R24" i="1"/>
  <c r="R5" i="1"/>
  <c r="R20" i="1"/>
  <c r="R16" i="1"/>
  <c r="R13" i="1"/>
  <c r="R19" i="1"/>
  <c r="R14" i="1"/>
  <c r="R12" i="1"/>
  <c r="O51" i="1"/>
  <c r="S34" i="1"/>
  <c r="Q16" i="28"/>
  <c r="G19" i="28"/>
  <c r="M27" i="23"/>
  <c r="C34" i="23"/>
  <c r="L56" i="23"/>
  <c r="E25" i="21"/>
  <c r="O25" i="21" s="1"/>
  <c r="O23" i="21"/>
  <c r="N40" i="24"/>
  <c r="F21" i="24"/>
  <c r="P17" i="24"/>
  <c r="H6" i="18"/>
  <c r="G42" i="26"/>
  <c r="R14" i="24"/>
  <c r="G16" i="26"/>
  <c r="G30" i="26"/>
  <c r="G11" i="26"/>
  <c r="O37" i="24"/>
  <c r="I23" i="22"/>
  <c r="T32" i="19"/>
  <c r="T25" i="19"/>
  <c r="T8" i="19"/>
  <c r="I13" i="22"/>
  <c r="T29" i="19"/>
  <c r="T13" i="19"/>
  <c r="T5" i="19"/>
  <c r="T19" i="19"/>
  <c r="T16" i="19"/>
  <c r="T21" i="19"/>
  <c r="T12" i="19"/>
  <c r="T6" i="19"/>
  <c r="T22" i="19"/>
  <c r="T31" i="19"/>
  <c r="T24" i="19"/>
  <c r="T20" i="19"/>
  <c r="T11" i="19"/>
  <c r="T7" i="19"/>
  <c r="T30" i="19"/>
  <c r="F8" i="26"/>
  <c r="F9" i="26"/>
  <c r="F34" i="23"/>
  <c r="N56" i="23"/>
  <c r="P27" i="23"/>
  <c r="N38" i="25"/>
  <c r="F28" i="25"/>
  <c r="P26" i="25"/>
  <c r="T33" i="19"/>
  <c r="N23" i="21"/>
  <c r="D25" i="21"/>
  <c r="M37" i="21"/>
  <c r="F11" i="22"/>
  <c r="P13" i="20"/>
  <c r="N35" i="20"/>
  <c r="F30" i="22"/>
  <c r="F16" i="22"/>
  <c r="M33" i="20"/>
  <c r="D16" i="20"/>
  <c r="E17" i="22"/>
  <c r="E12" i="22"/>
  <c r="D13" i="20"/>
  <c r="N11" i="20"/>
  <c r="T14" i="19"/>
  <c r="S26" i="15"/>
  <c r="P60" i="15"/>
  <c r="H32" i="15"/>
  <c r="E5" i="18"/>
  <c r="I26" i="12"/>
  <c r="I15" i="12"/>
  <c r="I11" i="12"/>
  <c r="T13" i="10"/>
  <c r="S18" i="10"/>
  <c r="P49" i="10"/>
  <c r="I23" i="10"/>
  <c r="N46" i="9"/>
  <c r="M102" i="9"/>
  <c r="D61" i="9"/>
  <c r="H21" i="12"/>
  <c r="H8" i="12"/>
  <c r="S53" i="9"/>
  <c r="S37" i="9"/>
  <c r="S29" i="9"/>
  <c r="S20" i="9"/>
  <c r="S12" i="9"/>
  <c r="S59" i="9"/>
  <c r="S52" i="9"/>
  <c r="S44" i="9"/>
  <c r="S36" i="9"/>
  <c r="S28" i="9"/>
  <c r="S19" i="9"/>
  <c r="S11" i="9"/>
  <c r="S51" i="9"/>
  <c r="S43" i="9"/>
  <c r="S35" i="9"/>
  <c r="S24" i="9"/>
  <c r="S18" i="9"/>
  <c r="S10" i="9"/>
  <c r="S54" i="9"/>
  <c r="S38" i="9"/>
  <c r="S30" i="9"/>
  <c r="S21" i="9"/>
  <c r="S13" i="9"/>
  <c r="S5" i="9"/>
  <c r="S57" i="9"/>
  <c r="S42" i="9"/>
  <c r="S34" i="9"/>
  <c r="P84" i="9"/>
  <c r="S16" i="9"/>
  <c r="S8" i="9"/>
  <c r="S55" i="9"/>
  <c r="S32" i="9"/>
  <c r="S49" i="9"/>
  <c r="S17" i="9"/>
  <c r="S9" i="9"/>
  <c r="S56" i="9"/>
  <c r="S41" i="9"/>
  <c r="S33" i="9"/>
  <c r="S50" i="9"/>
  <c r="S31" i="9"/>
  <c r="S22" i="9"/>
  <c r="S7" i="9"/>
  <c r="S6" i="9"/>
  <c r="S14" i="9"/>
  <c r="J20" i="6"/>
  <c r="T16" i="6"/>
  <c r="I9" i="8"/>
  <c r="I8" i="8"/>
  <c r="T41" i="5"/>
  <c r="J51" i="5"/>
  <c r="T51" i="5" s="1"/>
  <c r="T23" i="3"/>
  <c r="J25" i="3"/>
  <c r="T25" i="3" s="1"/>
  <c r="D13" i="8"/>
  <c r="L49" i="5"/>
  <c r="L34" i="5"/>
  <c r="L25" i="5"/>
  <c r="L17" i="5"/>
  <c r="L9" i="5"/>
  <c r="L48" i="5"/>
  <c r="L33" i="5"/>
  <c r="L22" i="5"/>
  <c r="L16" i="5"/>
  <c r="L8" i="5"/>
  <c r="D22" i="8"/>
  <c r="C8" i="18" s="1"/>
  <c r="L43" i="5"/>
  <c r="L27" i="5"/>
  <c r="L19" i="5"/>
  <c r="L11" i="5"/>
  <c r="L5" i="5"/>
  <c r="L44" i="5"/>
  <c r="L37" i="5"/>
  <c r="L29" i="5"/>
  <c r="L20" i="5"/>
  <c r="L12" i="5"/>
  <c r="L6" i="5"/>
  <c r="L45" i="5"/>
  <c r="L38" i="5"/>
  <c r="L30" i="5"/>
  <c r="L15" i="5"/>
  <c r="L7" i="5"/>
  <c r="L47" i="5"/>
  <c r="L32" i="5"/>
  <c r="L74" i="5"/>
  <c r="L26" i="5"/>
  <c r="L18" i="5"/>
  <c r="L10" i="5"/>
  <c r="L46" i="5"/>
  <c r="L39" i="5"/>
  <c r="L31" i="5"/>
  <c r="E42" i="8"/>
  <c r="N52" i="7"/>
  <c r="F27" i="7"/>
  <c r="P24" i="7"/>
  <c r="J34" i="1"/>
  <c r="T34" i="1" s="1"/>
  <c r="T27" i="1"/>
  <c r="I9" i="4"/>
  <c r="I8" i="4"/>
  <c r="M55" i="7"/>
  <c r="N27" i="7"/>
  <c r="Q44" i="5"/>
  <c r="Q37" i="5"/>
  <c r="Q29" i="5"/>
  <c r="Q20" i="5"/>
  <c r="Q12" i="5"/>
  <c r="Q43" i="5"/>
  <c r="Q27" i="5"/>
  <c r="Q19" i="5"/>
  <c r="Q11" i="5"/>
  <c r="Q46" i="5"/>
  <c r="Q39" i="5"/>
  <c r="Q31" i="5"/>
  <c r="Q22" i="5"/>
  <c r="Q16" i="5"/>
  <c r="Q8" i="5"/>
  <c r="Q47" i="5"/>
  <c r="Q32" i="5"/>
  <c r="Q25" i="5"/>
  <c r="Q17" i="5"/>
  <c r="Q9" i="5"/>
  <c r="Q48" i="5"/>
  <c r="Q33" i="5"/>
  <c r="Q26" i="5"/>
  <c r="Q18" i="5"/>
  <c r="Q10" i="5"/>
  <c r="Q5" i="5"/>
  <c r="Q21" i="5"/>
  <c r="Q13" i="5"/>
  <c r="Q6" i="5"/>
  <c r="Q45" i="5"/>
  <c r="Q38" i="5"/>
  <c r="Q30" i="5"/>
  <c r="Q15" i="5"/>
  <c r="Q7" i="5"/>
  <c r="Q49" i="5"/>
  <c r="Q34" i="5"/>
  <c r="H22" i="8"/>
  <c r="H13" i="8"/>
  <c r="S26" i="5"/>
  <c r="S18" i="5"/>
  <c r="S10" i="5"/>
  <c r="S49" i="5"/>
  <c r="S34" i="5"/>
  <c r="S25" i="5"/>
  <c r="S17" i="5"/>
  <c r="S9" i="5"/>
  <c r="S48" i="5"/>
  <c r="S33" i="5"/>
  <c r="S44" i="5"/>
  <c r="S37" i="5"/>
  <c r="S29" i="5"/>
  <c r="S20" i="5"/>
  <c r="S12" i="5"/>
  <c r="S6" i="5"/>
  <c r="S45" i="5"/>
  <c r="S38" i="5"/>
  <c r="S30" i="5"/>
  <c r="S15" i="5"/>
  <c r="S7" i="5"/>
  <c r="P74" i="5"/>
  <c r="S46" i="5"/>
  <c r="S40" i="5"/>
  <c r="S39" i="5"/>
  <c r="S31" i="5"/>
  <c r="S22" i="5"/>
  <c r="S16" i="5"/>
  <c r="S8" i="5"/>
  <c r="S47" i="5"/>
  <c r="S32" i="5"/>
  <c r="S27" i="5"/>
  <c r="S11" i="5"/>
  <c r="S50" i="5"/>
  <c r="S43" i="5"/>
  <c r="S35" i="5"/>
  <c r="S19" i="5"/>
  <c r="S5" i="5"/>
  <c r="L52" i="7"/>
  <c r="H8" i="4"/>
  <c r="M51" i="1"/>
  <c r="H9" i="30"/>
  <c r="S27" i="27"/>
  <c r="H8" i="30"/>
  <c r="I34" i="27"/>
  <c r="P56" i="27"/>
  <c r="M60" i="27"/>
  <c r="N34" i="27"/>
  <c r="P31" i="27"/>
  <c r="P24" i="27"/>
  <c r="F23" i="30"/>
  <c r="I8" i="18" s="1"/>
  <c r="F13" i="30"/>
  <c r="I19" i="18" s="1"/>
  <c r="P14" i="27"/>
  <c r="P7" i="27"/>
  <c r="P6" i="27"/>
  <c r="P13" i="27"/>
  <c r="P8" i="27"/>
  <c r="P32" i="27"/>
  <c r="P12" i="27"/>
  <c r="P5" i="27"/>
  <c r="P33" i="27"/>
  <c r="P21" i="27"/>
  <c r="P19" i="27"/>
  <c r="P9" i="27"/>
  <c r="P29" i="27"/>
  <c r="P25" i="27"/>
  <c r="P11" i="27"/>
  <c r="P20" i="27"/>
  <c r="N50" i="27"/>
  <c r="P30" i="27"/>
  <c r="P26" i="27"/>
  <c r="P16" i="27"/>
  <c r="P22" i="27"/>
  <c r="H23" i="30"/>
  <c r="H13" i="30"/>
  <c r="S21" i="27"/>
  <c r="S12" i="27"/>
  <c r="P50" i="27"/>
  <c r="S11" i="27"/>
  <c r="S32" i="27"/>
  <c r="S31" i="27"/>
  <c r="S30" i="27"/>
  <c r="S29" i="27"/>
  <c r="S25" i="27"/>
  <c r="S24" i="27"/>
  <c r="S20" i="27"/>
  <c r="S19" i="27"/>
  <c r="S13" i="27"/>
  <c r="S5" i="27"/>
  <c r="S6" i="27"/>
  <c r="S8" i="27"/>
  <c r="S16" i="27"/>
  <c r="S7" i="27"/>
  <c r="H5" i="18"/>
  <c r="G34" i="27"/>
  <c r="Q34" i="27" s="1"/>
  <c r="Q27" i="27"/>
  <c r="I23" i="18"/>
  <c r="T13" i="28"/>
  <c r="I16" i="30"/>
  <c r="I30" i="30"/>
  <c r="I11" i="30"/>
  <c r="O38" i="25"/>
  <c r="H28" i="25"/>
  <c r="R26" i="25"/>
  <c r="G9" i="26"/>
  <c r="G8" i="26"/>
  <c r="O56" i="23"/>
  <c r="H34" i="23"/>
  <c r="R27" i="23"/>
  <c r="D23" i="22"/>
  <c r="G8" i="18" s="1"/>
  <c r="D13" i="22"/>
  <c r="G19" i="18" s="1"/>
  <c r="L32" i="19"/>
  <c r="L25" i="19"/>
  <c r="L8" i="19"/>
  <c r="L29" i="19"/>
  <c r="L13" i="19"/>
  <c r="L5" i="19"/>
  <c r="L19" i="19"/>
  <c r="L16" i="19"/>
  <c r="L31" i="19"/>
  <c r="L50" i="19"/>
  <c r="L21" i="19"/>
  <c r="L12" i="19"/>
  <c r="L6" i="19"/>
  <c r="L22" i="19"/>
  <c r="L7" i="19"/>
  <c r="L24" i="19"/>
  <c r="L20" i="19"/>
  <c r="L30" i="19"/>
  <c r="L11" i="19"/>
  <c r="T9" i="19"/>
  <c r="H9" i="26"/>
  <c r="P56" i="23"/>
  <c r="I34" i="23"/>
  <c r="H8" i="26"/>
  <c r="S27" i="23"/>
  <c r="P34" i="19"/>
  <c r="G34" i="19"/>
  <c r="Q34" i="19" s="1"/>
  <c r="Q27" i="19"/>
  <c r="I12" i="22"/>
  <c r="J16" i="20"/>
  <c r="I17" i="22"/>
  <c r="J13" i="20"/>
  <c r="T11" i="20"/>
  <c r="L14" i="19"/>
  <c r="N67" i="15"/>
  <c r="D37" i="15"/>
  <c r="O34" i="15"/>
  <c r="D100" i="17"/>
  <c r="D8" i="22"/>
  <c r="G15" i="18" s="1"/>
  <c r="F92" i="17"/>
  <c r="T32" i="15"/>
  <c r="Q66" i="15"/>
  <c r="B32" i="17"/>
  <c r="F32" i="17"/>
  <c r="H9" i="16"/>
  <c r="F98" i="17" s="1"/>
  <c r="F72" i="17"/>
  <c r="Q104" i="13"/>
  <c r="T48" i="13"/>
  <c r="M13" i="13"/>
  <c r="F97" i="17"/>
  <c r="O57" i="9"/>
  <c r="O49" i="9"/>
  <c r="O41" i="9"/>
  <c r="O33" i="9"/>
  <c r="O16" i="9"/>
  <c r="O8" i="9"/>
  <c r="O56" i="9"/>
  <c r="O39" i="9"/>
  <c r="O32" i="9"/>
  <c r="O7" i="9"/>
  <c r="O55" i="9"/>
  <c r="O31" i="9"/>
  <c r="O22" i="9"/>
  <c r="O6" i="9"/>
  <c r="O50" i="9"/>
  <c r="O42" i="9"/>
  <c r="O34" i="9"/>
  <c r="O17" i="9"/>
  <c r="O9" i="9"/>
  <c r="O59" i="9"/>
  <c r="O38" i="9"/>
  <c r="O5" i="9"/>
  <c r="O52" i="9"/>
  <c r="O29" i="9"/>
  <c r="O20" i="9"/>
  <c r="O12" i="9"/>
  <c r="O44" i="9"/>
  <c r="O36" i="9"/>
  <c r="O45" i="9"/>
  <c r="O53" i="9"/>
  <c r="O30" i="9"/>
  <c r="O21" i="9"/>
  <c r="O13" i="9"/>
  <c r="O58" i="9"/>
  <c r="O37" i="9"/>
  <c r="O54" i="9"/>
  <c r="O43" i="9"/>
  <c r="O35" i="9"/>
  <c r="O19" i="9"/>
  <c r="O51" i="9"/>
  <c r="O18" i="9"/>
  <c r="O60" i="9"/>
  <c r="O28" i="9"/>
  <c r="O11" i="9"/>
  <c r="O24" i="9"/>
  <c r="O10" i="9"/>
  <c r="P39" i="13"/>
  <c r="T18" i="10"/>
  <c r="J23" i="10"/>
  <c r="G27" i="7"/>
  <c r="Q27" i="7" s="1"/>
  <c r="Q24" i="7"/>
  <c r="G26" i="12"/>
  <c r="G11" i="12"/>
  <c r="G15" i="12"/>
  <c r="R13" i="10"/>
  <c r="O45" i="10"/>
  <c r="O61" i="9"/>
  <c r="O49" i="10"/>
  <c r="M23" i="9"/>
  <c r="V48" i="13"/>
  <c r="E97" i="17"/>
  <c r="C17" i="18"/>
  <c r="L13" i="5"/>
  <c r="L39" i="9"/>
  <c r="D23" i="6"/>
  <c r="N20" i="6"/>
  <c r="Q50" i="5"/>
  <c r="N37" i="3"/>
  <c r="P23" i="3"/>
  <c r="F25" i="3"/>
  <c r="S13" i="5"/>
  <c r="S26" i="1"/>
  <c r="E43" i="4"/>
  <c r="N41" i="5"/>
  <c r="L55" i="7"/>
  <c r="L27" i="7"/>
  <c r="T16" i="2"/>
  <c r="J20" i="2"/>
  <c r="I17" i="18"/>
  <c r="L26" i="29"/>
  <c r="L39" i="29"/>
  <c r="B28" i="29"/>
  <c r="F28" i="29"/>
  <c r="N39" i="29"/>
  <c r="P26" i="29"/>
  <c r="M32" i="28"/>
  <c r="E17" i="30"/>
  <c r="E12" i="30"/>
  <c r="D13" i="28"/>
  <c r="N11" i="28"/>
  <c r="D16" i="28"/>
  <c r="I33" i="18"/>
  <c r="S14" i="27"/>
  <c r="T16" i="28"/>
  <c r="J19" i="28"/>
  <c r="M38" i="25"/>
  <c r="D28" i="25"/>
  <c r="N26" i="25"/>
  <c r="L26" i="25"/>
  <c r="L38" i="25"/>
  <c r="B28" i="25"/>
  <c r="R34" i="27"/>
  <c r="O60" i="27"/>
  <c r="O40" i="24"/>
  <c r="H21" i="24"/>
  <c r="R17" i="24"/>
  <c r="H17" i="18"/>
  <c r="D23" i="26"/>
  <c r="H8" i="18" s="1"/>
  <c r="L29" i="23"/>
  <c r="L13" i="23"/>
  <c r="L5" i="23"/>
  <c r="L21" i="23"/>
  <c r="L12" i="23"/>
  <c r="D13" i="26"/>
  <c r="L31" i="23"/>
  <c r="L22" i="23"/>
  <c r="L24" i="23"/>
  <c r="L50" i="23"/>
  <c r="L25" i="23"/>
  <c r="L20" i="23"/>
  <c r="L8" i="23"/>
  <c r="L11" i="23"/>
  <c r="L30" i="23"/>
  <c r="L19" i="23"/>
  <c r="L7" i="23"/>
  <c r="L32" i="23"/>
  <c r="L9" i="23"/>
  <c r="L26" i="23"/>
  <c r="L16" i="23"/>
  <c r="L6" i="23"/>
  <c r="H16" i="18"/>
  <c r="E21" i="26"/>
  <c r="L9" i="19"/>
  <c r="M23" i="21"/>
  <c r="C25" i="21"/>
  <c r="M25" i="21" s="1"/>
  <c r="H17" i="22"/>
  <c r="S11" i="20"/>
  <c r="P33" i="20"/>
  <c r="H12" i="22"/>
  <c r="I13" i="20"/>
  <c r="I16" i="20"/>
  <c r="T17" i="24"/>
  <c r="J21" i="24"/>
  <c r="G17" i="18"/>
  <c r="H31" i="17"/>
  <c r="R66" i="15"/>
  <c r="G92" i="17"/>
  <c r="U32" i="15"/>
  <c r="G9" i="22"/>
  <c r="G16" i="18" s="1"/>
  <c r="G8" i="22"/>
  <c r="R27" i="19"/>
  <c r="H34" i="19"/>
  <c r="O56" i="19"/>
  <c r="Q9" i="19"/>
  <c r="H26" i="17"/>
  <c r="M48" i="13"/>
  <c r="E91" i="17"/>
  <c r="P57" i="15"/>
  <c r="S21" i="15"/>
  <c r="D84" i="17"/>
  <c r="D46" i="17"/>
  <c r="F28" i="16"/>
  <c r="F23" i="16"/>
  <c r="F12" i="16"/>
  <c r="Q12" i="14"/>
  <c r="O44" i="14"/>
  <c r="E83" i="17"/>
  <c r="H12" i="14"/>
  <c r="H17" i="14"/>
  <c r="E45" i="17"/>
  <c r="G24" i="16"/>
  <c r="P42" i="14"/>
  <c r="G14" i="16"/>
  <c r="E105" i="17" s="1"/>
  <c r="S10" i="14"/>
  <c r="N85" i="13"/>
  <c r="D12" i="12"/>
  <c r="D16" i="12"/>
  <c r="L11" i="10"/>
  <c r="B18" i="10"/>
  <c r="L43" i="10"/>
  <c r="B13" i="10"/>
  <c r="D33" i="18"/>
  <c r="G97" i="17"/>
  <c r="S39" i="13"/>
  <c r="P24" i="13"/>
  <c r="O23" i="9"/>
  <c r="O46" i="9"/>
  <c r="F16" i="12"/>
  <c r="F12" i="12"/>
  <c r="F13" i="10"/>
  <c r="N43" i="10"/>
  <c r="P11" i="10"/>
  <c r="F18" i="10"/>
  <c r="N58" i="9"/>
  <c r="H32" i="17"/>
  <c r="B32" i="11"/>
  <c r="L29" i="11"/>
  <c r="L57" i="11"/>
  <c r="O14" i="9"/>
  <c r="N13" i="5"/>
  <c r="L89" i="5"/>
  <c r="D9" i="8"/>
  <c r="C16" i="18" s="1"/>
  <c r="D8" i="8"/>
  <c r="C15" i="18" s="1"/>
  <c r="B51" i="5"/>
  <c r="L41" i="5"/>
  <c r="T58" i="9"/>
  <c r="L102" i="9"/>
  <c r="B61" i="9"/>
  <c r="L46" i="9"/>
  <c r="P102" i="9"/>
  <c r="M52" i="7"/>
  <c r="G9" i="4"/>
  <c r="H34" i="1"/>
  <c r="O57" i="1"/>
  <c r="G8" i="4"/>
  <c r="R27" i="1"/>
  <c r="L39" i="3"/>
  <c r="L25" i="3"/>
  <c r="P34" i="1"/>
  <c r="N61" i="1"/>
  <c r="Q40" i="5"/>
  <c r="P57" i="1"/>
  <c r="I25" i="18" l="1"/>
  <c r="H19" i="18"/>
  <c r="H15" i="18"/>
  <c r="B5" i="18"/>
  <c r="B6" i="18"/>
  <c r="O61" i="1"/>
  <c r="R34" i="1"/>
  <c r="F15" i="12"/>
  <c r="N45" i="10"/>
  <c r="F26" i="12"/>
  <c r="F11" i="12"/>
  <c r="P13" i="10"/>
  <c r="F41" i="12"/>
  <c r="I34" i="26"/>
  <c r="I19" i="26"/>
  <c r="I18" i="26"/>
  <c r="I21" i="26"/>
  <c r="T21" i="24"/>
  <c r="J22" i="24"/>
  <c r="I20" i="26"/>
  <c r="I29" i="26"/>
  <c r="I40" i="26"/>
  <c r="I18" i="30"/>
  <c r="I34" i="30"/>
  <c r="I19" i="30"/>
  <c r="I21" i="30"/>
  <c r="J20" i="28"/>
  <c r="T19" i="28"/>
  <c r="I20" i="30"/>
  <c r="I40" i="30"/>
  <c r="I29" i="30"/>
  <c r="E20" i="8"/>
  <c r="E19" i="8"/>
  <c r="E34" i="8"/>
  <c r="N23" i="6"/>
  <c r="E18" i="8"/>
  <c r="E40" i="8"/>
  <c r="E29" i="8"/>
  <c r="O40" i="25"/>
  <c r="R28" i="25"/>
  <c r="F21" i="26"/>
  <c r="F34" i="26"/>
  <c r="F22" i="24"/>
  <c r="F18" i="26"/>
  <c r="F40" i="26"/>
  <c r="P21" i="24"/>
  <c r="F20" i="26"/>
  <c r="F19" i="26"/>
  <c r="N44" i="24"/>
  <c r="F29" i="26"/>
  <c r="G20" i="28"/>
  <c r="Q19" i="28"/>
  <c r="N34" i="1"/>
  <c r="M61" i="1"/>
  <c r="D15" i="18"/>
  <c r="F49" i="17"/>
  <c r="I21" i="14"/>
  <c r="Q48" i="14"/>
  <c r="T17" i="14"/>
  <c r="C84" i="17"/>
  <c r="C46" i="17"/>
  <c r="N44" i="14"/>
  <c r="O12" i="14"/>
  <c r="E46" i="16"/>
  <c r="E28" i="16"/>
  <c r="E23" i="16"/>
  <c r="C101" i="17" s="1"/>
  <c r="E12" i="16"/>
  <c r="C99" i="17" s="1"/>
  <c r="I15" i="18"/>
  <c r="R28" i="29"/>
  <c r="O41" i="29"/>
  <c r="O16" i="6"/>
  <c r="E20" i="6"/>
  <c r="M44" i="6"/>
  <c r="N37" i="28"/>
  <c r="F19" i="28"/>
  <c r="P16" i="28"/>
  <c r="Q20" i="20"/>
  <c r="G21" i="20"/>
  <c r="P98" i="5"/>
  <c r="S51" i="5"/>
  <c r="C18" i="18"/>
  <c r="M23" i="10"/>
  <c r="C27" i="10"/>
  <c r="O14" i="24"/>
  <c r="M37" i="24"/>
  <c r="L51" i="5"/>
  <c r="L98" i="5"/>
  <c r="D15" i="12"/>
  <c r="D41" i="12"/>
  <c r="D44" i="18" s="1"/>
  <c r="D26" i="12"/>
  <c r="D21" i="18" s="1"/>
  <c r="L45" i="10"/>
  <c r="D11" i="12"/>
  <c r="L13" i="10"/>
  <c r="D34" i="18"/>
  <c r="T23" i="10"/>
  <c r="J27" i="10"/>
  <c r="T16" i="20"/>
  <c r="J20" i="20"/>
  <c r="P60" i="23"/>
  <c r="S34" i="23"/>
  <c r="P54" i="10"/>
  <c r="I27" i="10"/>
  <c r="S23" i="10"/>
  <c r="E92" i="17"/>
  <c r="S32" i="15"/>
  <c r="P66" i="15"/>
  <c r="D20" i="20"/>
  <c r="N16" i="20"/>
  <c r="M38" i="20"/>
  <c r="M39" i="21"/>
  <c r="N25" i="21"/>
  <c r="N60" i="23"/>
  <c r="P34" i="23"/>
  <c r="L34" i="27"/>
  <c r="L60" i="27"/>
  <c r="D105" i="17"/>
  <c r="D16" i="22"/>
  <c r="D42" i="22"/>
  <c r="G44" i="18" s="1"/>
  <c r="B44" i="18" s="1"/>
  <c r="D11" i="22"/>
  <c r="D30" i="22"/>
  <c r="L35" i="20"/>
  <c r="L13" i="20"/>
  <c r="G34" i="18"/>
  <c r="F20" i="18"/>
  <c r="C24" i="18"/>
  <c r="B33" i="18"/>
  <c r="O98" i="5"/>
  <c r="R51" i="5"/>
  <c r="G27" i="10"/>
  <c r="Q23" i="10"/>
  <c r="B105" i="17"/>
  <c r="E20" i="18"/>
  <c r="J21" i="14"/>
  <c r="R48" i="14"/>
  <c r="G49" i="17"/>
  <c r="U17" i="14"/>
  <c r="M67" i="15"/>
  <c r="M34" i="15"/>
  <c r="B37" i="15"/>
  <c r="L32" i="11"/>
  <c r="L60" i="11"/>
  <c r="P38" i="20"/>
  <c r="S16" i="20"/>
  <c r="I20" i="20"/>
  <c r="O38" i="20"/>
  <c r="L40" i="25"/>
  <c r="L28" i="25"/>
  <c r="F11" i="4"/>
  <c r="F31" i="4"/>
  <c r="N35" i="2"/>
  <c r="F16" i="4"/>
  <c r="P13" i="2"/>
  <c r="F43" i="4"/>
  <c r="G23" i="6"/>
  <c r="Q20" i="6"/>
  <c r="N48" i="6"/>
  <c r="N60" i="11"/>
  <c r="P32" i="11"/>
  <c r="L39" i="21"/>
  <c r="O17" i="24"/>
  <c r="E21" i="24"/>
  <c r="M40" i="24"/>
  <c r="S28" i="25"/>
  <c r="P40" i="25"/>
  <c r="P34" i="27"/>
  <c r="N60" i="27"/>
  <c r="D16" i="18"/>
  <c r="L40" i="24"/>
  <c r="L17" i="24"/>
  <c r="B21" i="24"/>
  <c r="F19" i="18"/>
  <c r="F25" i="18"/>
  <c r="B4" i="18"/>
  <c r="F34" i="22"/>
  <c r="F19" i="22"/>
  <c r="F21" i="22"/>
  <c r="F18" i="22"/>
  <c r="F20" i="22"/>
  <c r="F21" i="20"/>
  <c r="P20" i="20"/>
  <c r="N42" i="20"/>
  <c r="F40" i="22"/>
  <c r="F29" i="22"/>
  <c r="C21" i="18"/>
  <c r="P115" i="9"/>
  <c r="L18" i="10"/>
  <c r="B23" i="10"/>
  <c r="L49" i="10"/>
  <c r="H30" i="22"/>
  <c r="H16" i="22"/>
  <c r="H11" i="22"/>
  <c r="H42" i="22"/>
  <c r="P35" i="20"/>
  <c r="S13" i="20"/>
  <c r="O35" i="20"/>
  <c r="I19" i="4"/>
  <c r="I35" i="4"/>
  <c r="I20" i="4"/>
  <c r="T20" i="2"/>
  <c r="J21" i="2"/>
  <c r="I30" i="4"/>
  <c r="I21" i="4"/>
  <c r="I18" i="4"/>
  <c r="P25" i="3"/>
  <c r="N39" i="3"/>
  <c r="N70" i="15"/>
  <c r="O37" i="15"/>
  <c r="O60" i="23"/>
  <c r="R34" i="23"/>
  <c r="S34" i="27"/>
  <c r="P60" i="27"/>
  <c r="P61" i="1"/>
  <c r="O35" i="2"/>
  <c r="R13" i="2"/>
  <c r="G16" i="4"/>
  <c r="G11" i="4"/>
  <c r="G31" i="4"/>
  <c r="G43" i="4"/>
  <c r="E15" i="12"/>
  <c r="M45" i="10"/>
  <c r="E26" i="12"/>
  <c r="E11" i="12"/>
  <c r="N13" i="10"/>
  <c r="E41" i="12"/>
  <c r="G58" i="13"/>
  <c r="R56" i="13"/>
  <c r="E36" i="17"/>
  <c r="M60" i="23"/>
  <c r="N34" i="23"/>
  <c r="O55" i="7"/>
  <c r="R27" i="7"/>
  <c r="E98" i="17"/>
  <c r="S70" i="15"/>
  <c r="V37" i="15"/>
  <c r="G20" i="18"/>
  <c r="E21" i="2"/>
  <c r="O20" i="2"/>
  <c r="D31" i="4"/>
  <c r="D16" i="4"/>
  <c r="F24" i="18" s="1"/>
  <c r="D11" i="4"/>
  <c r="F18" i="18" s="1"/>
  <c r="L13" i="2"/>
  <c r="L35" i="2"/>
  <c r="F34" i="18"/>
  <c r="D43" i="4"/>
  <c r="F44" i="18" s="1"/>
  <c r="C20" i="6"/>
  <c r="M16" i="6"/>
  <c r="L44" i="6"/>
  <c r="E25" i="18"/>
  <c r="R70" i="15"/>
  <c r="U37" i="15"/>
  <c r="D73" i="17"/>
  <c r="D36" i="17"/>
  <c r="F58" i="13"/>
  <c r="Q56" i="13"/>
  <c r="O110" i="13"/>
  <c r="N16" i="28"/>
  <c r="D19" i="28"/>
  <c r="M37" i="28"/>
  <c r="Q20" i="2"/>
  <c r="G21" i="2"/>
  <c r="H30" i="10"/>
  <c r="R27" i="10"/>
  <c r="G25" i="12"/>
  <c r="G17" i="12"/>
  <c r="O58" i="10"/>
  <c r="G31" i="12"/>
  <c r="G39" i="12"/>
  <c r="G18" i="12"/>
  <c r="H18" i="26"/>
  <c r="H19" i="26"/>
  <c r="H40" i="26"/>
  <c r="P44" i="24"/>
  <c r="H20" i="26"/>
  <c r="I22" i="24"/>
  <c r="H21" i="26"/>
  <c r="H34" i="26"/>
  <c r="S21" i="24"/>
  <c r="H29" i="26"/>
  <c r="H18" i="30"/>
  <c r="H34" i="30"/>
  <c r="H19" i="30"/>
  <c r="H20" i="30"/>
  <c r="P40" i="28"/>
  <c r="H21" i="30"/>
  <c r="S19" i="28"/>
  <c r="I20" i="28"/>
  <c r="H29" i="30"/>
  <c r="H40" i="30"/>
  <c r="L16" i="20"/>
  <c r="B20" i="20"/>
  <c r="L38" i="20"/>
  <c r="P41" i="29"/>
  <c r="S28" i="29"/>
  <c r="H86" i="17"/>
  <c r="H50" i="17"/>
  <c r="J44" i="16"/>
  <c r="J36" i="16"/>
  <c r="J32" i="16"/>
  <c r="J26" i="16"/>
  <c r="H104" i="17" s="1"/>
  <c r="J25" i="16"/>
  <c r="H102" i="17" s="1"/>
  <c r="K57" i="13"/>
  <c r="V21" i="14"/>
  <c r="S52" i="14"/>
  <c r="N39" i="21"/>
  <c r="Q25" i="21"/>
  <c r="P48" i="6"/>
  <c r="S20" i="6"/>
  <c r="I23" i="6"/>
  <c r="C34" i="18"/>
  <c r="O60" i="11"/>
  <c r="R32" i="11"/>
  <c r="B21" i="14"/>
  <c r="B49" i="17"/>
  <c r="M17" i="14"/>
  <c r="M48" i="14"/>
  <c r="G84" i="17"/>
  <c r="G46" i="17"/>
  <c r="I28" i="16"/>
  <c r="U12" i="14"/>
  <c r="R44" i="14"/>
  <c r="I23" i="16"/>
  <c r="G101" i="17" s="1"/>
  <c r="I12" i="16"/>
  <c r="G99" i="17" s="1"/>
  <c r="I46" i="16"/>
  <c r="D20" i="30"/>
  <c r="D21" i="30"/>
  <c r="D18" i="30"/>
  <c r="B20" i="28"/>
  <c r="D34" i="30"/>
  <c r="D19" i="30"/>
  <c r="L19" i="28"/>
  <c r="L40" i="28"/>
  <c r="I35" i="18"/>
  <c r="D40" i="30"/>
  <c r="I42" i="18" s="1"/>
  <c r="D29" i="30"/>
  <c r="H34" i="15"/>
  <c r="L61" i="9"/>
  <c r="L115" i="9"/>
  <c r="N49" i="10"/>
  <c r="P18" i="10"/>
  <c r="F23" i="10"/>
  <c r="D25" i="18"/>
  <c r="S17" i="14"/>
  <c r="H21" i="14"/>
  <c r="E49" i="17"/>
  <c r="P48" i="14"/>
  <c r="N60" i="19"/>
  <c r="N55" i="7"/>
  <c r="P27" i="7"/>
  <c r="C19" i="18"/>
  <c r="P28" i="25"/>
  <c r="N40" i="25"/>
  <c r="M34" i="23"/>
  <c r="L60" i="23"/>
  <c r="E58" i="13"/>
  <c r="P56" i="13"/>
  <c r="F84" i="17"/>
  <c r="F46" i="17"/>
  <c r="H28" i="16"/>
  <c r="H23" i="16"/>
  <c r="F101" i="17" s="1"/>
  <c r="H12" i="16"/>
  <c r="F99" i="17" s="1"/>
  <c r="Q44" i="14"/>
  <c r="T12" i="14"/>
  <c r="H46" i="16"/>
  <c r="E15" i="18"/>
  <c r="B15" i="18" s="1"/>
  <c r="M41" i="29"/>
  <c r="N28" i="29"/>
  <c r="H19" i="4"/>
  <c r="H35" i="4"/>
  <c r="H20" i="4"/>
  <c r="S20" i="2"/>
  <c r="H18" i="4"/>
  <c r="H41" i="4"/>
  <c r="H21" i="4"/>
  <c r="P42" i="2"/>
  <c r="I21" i="2"/>
  <c r="H30" i="4"/>
  <c r="C21" i="14"/>
  <c r="N17" i="14"/>
  <c r="D30" i="26"/>
  <c r="H21" i="18" s="1"/>
  <c r="D16" i="26"/>
  <c r="H24" i="18" s="1"/>
  <c r="D11" i="26"/>
  <c r="H18" i="18" s="1"/>
  <c r="L37" i="24"/>
  <c r="L14" i="24"/>
  <c r="H34" i="18"/>
  <c r="D42" i="26"/>
  <c r="H44" i="18" s="1"/>
  <c r="D19" i="8"/>
  <c r="D40" i="8"/>
  <c r="C42" i="18" s="1"/>
  <c r="D20" i="8"/>
  <c r="D34" i="8"/>
  <c r="D18" i="8"/>
  <c r="L23" i="6"/>
  <c r="D29" i="8"/>
  <c r="E23" i="10"/>
  <c r="O18" i="10"/>
  <c r="G98" i="17"/>
  <c r="P61" i="9"/>
  <c r="N115" i="9"/>
  <c r="P39" i="21"/>
  <c r="T25" i="21"/>
  <c r="D20" i="18"/>
  <c r="B20" i="18" s="1"/>
  <c r="P44" i="14"/>
  <c r="E46" i="17"/>
  <c r="E84" i="17"/>
  <c r="G28" i="16"/>
  <c r="G23" i="16"/>
  <c r="E101" i="17" s="1"/>
  <c r="G12" i="16"/>
  <c r="E99" i="17" s="1"/>
  <c r="S12" i="14"/>
  <c r="G46" i="16"/>
  <c r="G18" i="26"/>
  <c r="G21" i="26"/>
  <c r="G34" i="26"/>
  <c r="R21" i="24"/>
  <c r="G19" i="26"/>
  <c r="G40" i="26"/>
  <c r="G20" i="26"/>
  <c r="O44" i="24"/>
  <c r="H22" i="24"/>
  <c r="G29" i="26"/>
  <c r="M40" i="25"/>
  <c r="N28" i="25"/>
  <c r="E30" i="30"/>
  <c r="I21" i="18" s="1"/>
  <c r="E16" i="30"/>
  <c r="E11" i="30"/>
  <c r="M34" i="28"/>
  <c r="N13" i="28"/>
  <c r="E42" i="30"/>
  <c r="N41" i="29"/>
  <c r="P28" i="29"/>
  <c r="T20" i="6"/>
  <c r="J23" i="6"/>
  <c r="N61" i="9"/>
  <c r="M115" i="9"/>
  <c r="E11" i="22"/>
  <c r="M35" i="20"/>
  <c r="N13" i="20"/>
  <c r="E30" i="22"/>
  <c r="E16" i="22"/>
  <c r="E42" i="22"/>
  <c r="D23" i="10"/>
  <c r="M49" i="10"/>
  <c r="N18" i="10"/>
  <c r="B23" i="18"/>
  <c r="E8" i="18"/>
  <c r="B8" i="18" s="1"/>
  <c r="Q37" i="15"/>
  <c r="O70" i="15"/>
  <c r="M60" i="19"/>
  <c r="N34" i="19"/>
  <c r="C21" i="20"/>
  <c r="M20" i="20"/>
  <c r="I34" i="18"/>
  <c r="L41" i="6"/>
  <c r="M19" i="28"/>
  <c r="C20" i="28"/>
  <c r="O60" i="19"/>
  <c r="R34" i="19"/>
  <c r="L41" i="29"/>
  <c r="L28" i="29"/>
  <c r="I30" i="22"/>
  <c r="I16" i="22"/>
  <c r="I11" i="22"/>
  <c r="T13" i="20"/>
  <c r="H20" i="2"/>
  <c r="O38" i="2"/>
  <c r="R16" i="2"/>
  <c r="P39" i="3"/>
  <c r="S25" i="3"/>
  <c r="F20" i="2"/>
  <c r="P16" i="2"/>
  <c r="N38" i="2"/>
  <c r="E21" i="20"/>
  <c r="O20" i="20"/>
  <c r="G19" i="12"/>
  <c r="O115" i="9"/>
  <c r="R61" i="9"/>
  <c r="C49" i="17"/>
  <c r="D21" i="14"/>
  <c r="N48" i="14"/>
  <c r="O17" i="14"/>
  <c r="G21" i="30"/>
  <c r="R19" i="28"/>
  <c r="G18" i="30"/>
  <c r="G20" i="30"/>
  <c r="O40" i="28"/>
  <c r="G19" i="30"/>
  <c r="G40" i="30"/>
  <c r="G29" i="30"/>
  <c r="G34" i="30"/>
  <c r="H20" i="28"/>
  <c r="I16" i="18"/>
  <c r="O48" i="6"/>
  <c r="R20" i="6"/>
  <c r="H23" i="6"/>
  <c r="D17" i="18"/>
  <c r="C98" i="17"/>
  <c r="G25" i="18"/>
  <c r="F42" i="30"/>
  <c r="N34" i="28"/>
  <c r="F30" i="30"/>
  <c r="F16" i="30"/>
  <c r="F11" i="30"/>
  <c r="P13" i="28"/>
  <c r="F8" i="18"/>
  <c r="B20" i="2"/>
  <c r="L16" i="2"/>
  <c r="L38" i="2"/>
  <c r="P60" i="19"/>
  <c r="S34" i="19"/>
  <c r="P51" i="5"/>
  <c r="N98" i="5"/>
  <c r="B46" i="17"/>
  <c r="B84" i="17"/>
  <c r="D23" i="16"/>
  <c r="D28" i="16"/>
  <c r="D12" i="16"/>
  <c r="M44" i="14"/>
  <c r="M12" i="14"/>
  <c r="E34" i="18"/>
  <c r="D46" i="16"/>
  <c r="E44" i="18" s="1"/>
  <c r="D74" i="17"/>
  <c r="D37" i="17"/>
  <c r="Q57" i="13"/>
  <c r="O111" i="13"/>
  <c r="R25" i="21"/>
  <c r="O39" i="21"/>
  <c r="Q70" i="15"/>
  <c r="T37" i="15"/>
  <c r="B25" i="18" l="1"/>
  <c r="G18" i="4"/>
  <c r="O42" i="2"/>
  <c r="H21" i="2"/>
  <c r="G30" i="4"/>
  <c r="G21" i="4"/>
  <c r="G19" i="4"/>
  <c r="R20" i="2"/>
  <c r="G35" i="4"/>
  <c r="G20" i="4"/>
  <c r="G41" i="4"/>
  <c r="I34" i="8"/>
  <c r="I18" i="8"/>
  <c r="I19" i="8"/>
  <c r="T23" i="6"/>
  <c r="I20" i="8"/>
  <c r="I29" i="8"/>
  <c r="I24" i="18"/>
  <c r="D18" i="22"/>
  <c r="D29" i="22"/>
  <c r="L42" i="20"/>
  <c r="D40" i="22"/>
  <c r="G42" i="18" s="1"/>
  <c r="B21" i="20"/>
  <c r="D21" i="22"/>
  <c r="D19" i="22"/>
  <c r="L20" i="20"/>
  <c r="D34" i="22"/>
  <c r="D20" i="22"/>
  <c r="G35" i="18"/>
  <c r="H20" i="22"/>
  <c r="H19" i="22"/>
  <c r="H34" i="22"/>
  <c r="I21" i="20"/>
  <c r="S20" i="20"/>
  <c r="H29" i="22"/>
  <c r="P42" i="20"/>
  <c r="H21" i="22"/>
  <c r="H18" i="22"/>
  <c r="H40" i="22"/>
  <c r="O42" i="20"/>
  <c r="E18" i="22"/>
  <c r="E40" i="22"/>
  <c r="N20" i="20"/>
  <c r="E21" i="22"/>
  <c r="E19" i="22"/>
  <c r="D21" i="20"/>
  <c r="E34" i="22"/>
  <c r="E20" i="22"/>
  <c r="M42" i="20"/>
  <c r="E29" i="22"/>
  <c r="C30" i="10"/>
  <c r="M30" i="10" s="1"/>
  <c r="M27" i="10"/>
  <c r="E86" i="17"/>
  <c r="G27" i="16"/>
  <c r="P52" i="14"/>
  <c r="S21" i="14"/>
  <c r="G32" i="16"/>
  <c r="G25" i="16"/>
  <c r="E50" i="17"/>
  <c r="H57" i="13"/>
  <c r="G36" i="16"/>
  <c r="G26" i="16"/>
  <c r="P67" i="15"/>
  <c r="H37" i="15"/>
  <c r="S34" i="15"/>
  <c r="B86" i="17"/>
  <c r="B50" i="17"/>
  <c r="B57" i="13"/>
  <c r="D36" i="16"/>
  <c r="M52" i="14"/>
  <c r="D25" i="16"/>
  <c r="D32" i="16"/>
  <c r="D26" i="16"/>
  <c r="D44" i="16"/>
  <c r="E42" i="18" s="1"/>
  <c r="M21" i="14"/>
  <c r="E35" i="18"/>
  <c r="D101" i="17"/>
  <c r="G30" i="10"/>
  <c r="Q30" i="10" s="1"/>
  <c r="Q27" i="10"/>
  <c r="I20" i="22"/>
  <c r="I34" i="22"/>
  <c r="J21" i="20"/>
  <c r="T20" i="20"/>
  <c r="I29" i="22"/>
  <c r="I19" i="22"/>
  <c r="I21" i="22"/>
  <c r="I18" i="22"/>
  <c r="F21" i="30"/>
  <c r="F18" i="30"/>
  <c r="F40" i="30"/>
  <c r="F34" i="30"/>
  <c r="F19" i="30"/>
  <c r="F20" i="30"/>
  <c r="P19" i="28"/>
  <c r="N40" i="28"/>
  <c r="F20" i="28"/>
  <c r="F29" i="30"/>
  <c r="C26" i="18"/>
  <c r="I26" i="18"/>
  <c r="E20" i="30"/>
  <c r="M40" i="28"/>
  <c r="E21" i="30"/>
  <c r="E34" i="30"/>
  <c r="E19" i="30"/>
  <c r="I27" i="18" s="1"/>
  <c r="E18" i="30"/>
  <c r="D20" i="28"/>
  <c r="N19" i="28"/>
  <c r="E40" i="30"/>
  <c r="E29" i="30"/>
  <c r="G21" i="18"/>
  <c r="F21" i="2"/>
  <c r="F18" i="4"/>
  <c r="N42" i="2"/>
  <c r="P20" i="2"/>
  <c r="F21" i="4"/>
  <c r="F19" i="4"/>
  <c r="F35" i="4"/>
  <c r="F20" i="4"/>
  <c r="F41" i="4"/>
  <c r="F30" i="4"/>
  <c r="L23" i="10"/>
  <c r="L54" i="10"/>
  <c r="B27" i="10"/>
  <c r="D99" i="17"/>
  <c r="G18" i="18"/>
  <c r="I17" i="12"/>
  <c r="I31" i="12"/>
  <c r="I39" i="12"/>
  <c r="J30" i="10"/>
  <c r="T30" i="10" s="1"/>
  <c r="T27" i="10"/>
  <c r="I25" i="12"/>
  <c r="I18" i="12"/>
  <c r="I19" i="12"/>
  <c r="D24" i="18"/>
  <c r="F50" i="17"/>
  <c r="H44" i="16"/>
  <c r="H36" i="16"/>
  <c r="H32" i="16"/>
  <c r="H26" i="16"/>
  <c r="H25" i="16"/>
  <c r="F86" i="17"/>
  <c r="I57" i="13"/>
  <c r="T21" i="14"/>
  <c r="Q52" i="14"/>
  <c r="E21" i="18"/>
  <c r="F27" i="10"/>
  <c r="N54" i="10"/>
  <c r="P23" i="10"/>
  <c r="I28" i="18"/>
  <c r="B34" i="18"/>
  <c r="H37" i="17"/>
  <c r="H74" i="17"/>
  <c r="S111" i="13"/>
  <c r="V57" i="13"/>
  <c r="K56" i="13"/>
  <c r="E38" i="17"/>
  <c r="G11" i="16"/>
  <c r="G37" i="16"/>
  <c r="R58" i="13"/>
  <c r="G45" i="16"/>
  <c r="G10" i="16"/>
  <c r="G13" i="16"/>
  <c r="G59" i="13"/>
  <c r="R59" i="13" s="1"/>
  <c r="E23" i="6"/>
  <c r="O20" i="6"/>
  <c r="M48" i="6"/>
  <c r="G20" i="8"/>
  <c r="C28" i="18" s="1"/>
  <c r="G18" i="8"/>
  <c r="G34" i="8"/>
  <c r="G19" i="8"/>
  <c r="C27" i="18" s="1"/>
  <c r="O51" i="6"/>
  <c r="R23" i="6"/>
  <c r="G29" i="8"/>
  <c r="B99" i="17"/>
  <c r="E18" i="18"/>
  <c r="B101" i="17"/>
  <c r="E24" i="18"/>
  <c r="O23" i="10"/>
  <c r="E27" i="10"/>
  <c r="H34" i="8"/>
  <c r="C39" i="18" s="1"/>
  <c r="H18" i="8"/>
  <c r="P51" i="6"/>
  <c r="H20" i="8"/>
  <c r="S23" i="6"/>
  <c r="H19" i="8"/>
  <c r="H29" i="8"/>
  <c r="R30" i="10"/>
  <c r="O60" i="10"/>
  <c r="D20" i="26"/>
  <c r="H28" i="18" s="1"/>
  <c r="D34" i="26"/>
  <c r="H39" i="18" s="1"/>
  <c r="D21" i="26"/>
  <c r="D29" i="26"/>
  <c r="L21" i="24"/>
  <c r="D18" i="26"/>
  <c r="H26" i="18" s="1"/>
  <c r="L44" i="24"/>
  <c r="D19" i="26"/>
  <c r="H27" i="18" s="1"/>
  <c r="B22" i="24"/>
  <c r="H35" i="18"/>
  <c r="D40" i="26"/>
  <c r="H42" i="18" s="1"/>
  <c r="Q23" i="6"/>
  <c r="N51" i="6"/>
  <c r="I32" i="16"/>
  <c r="I25" i="16"/>
  <c r="G102" i="17" s="1"/>
  <c r="J57" i="13"/>
  <c r="G86" i="17"/>
  <c r="G50" i="17"/>
  <c r="I26" i="16"/>
  <c r="G104" i="17" s="1"/>
  <c r="I36" i="16"/>
  <c r="R52" i="14"/>
  <c r="U21" i="14"/>
  <c r="I44" i="16"/>
  <c r="G24" i="18"/>
  <c r="B24" i="18" s="1"/>
  <c r="H17" i="12"/>
  <c r="H25" i="12"/>
  <c r="I30" i="10"/>
  <c r="S27" i="10"/>
  <c r="H31" i="12"/>
  <c r="P58" i="10"/>
  <c r="H39" i="12"/>
  <c r="H19" i="12"/>
  <c r="H18" i="12"/>
  <c r="P58" i="13"/>
  <c r="E59" i="13"/>
  <c r="P59" i="13" s="1"/>
  <c r="D38" i="17"/>
  <c r="F37" i="16"/>
  <c r="F11" i="16"/>
  <c r="D75" i="17"/>
  <c r="Q58" i="13"/>
  <c r="O112" i="13"/>
  <c r="F45" i="16"/>
  <c r="F13" i="16"/>
  <c r="F59" i="13"/>
  <c r="F27" i="16"/>
  <c r="D103" i="17" s="1"/>
  <c r="F10" i="16"/>
  <c r="F21" i="18"/>
  <c r="O21" i="24"/>
  <c r="E22" i="24"/>
  <c r="M44" i="24"/>
  <c r="C86" i="17"/>
  <c r="C50" i="17"/>
  <c r="D57" i="13"/>
  <c r="E32" i="16"/>
  <c r="N52" i="14"/>
  <c r="E44" i="16"/>
  <c r="E26" i="16"/>
  <c r="C104" i="17" s="1"/>
  <c r="E36" i="16"/>
  <c r="E25" i="16"/>
  <c r="C102" i="17" s="1"/>
  <c r="O21" i="14"/>
  <c r="D21" i="4"/>
  <c r="D19" i="4"/>
  <c r="F27" i="18" s="1"/>
  <c r="L42" i="2"/>
  <c r="D35" i="4"/>
  <c r="D20" i="4"/>
  <c r="F28" i="18" s="1"/>
  <c r="D18" i="4"/>
  <c r="F26" i="18" s="1"/>
  <c r="L20" i="2"/>
  <c r="B21" i="2"/>
  <c r="F35" i="18"/>
  <c r="D30" i="4"/>
  <c r="D41" i="4"/>
  <c r="F42" i="18" s="1"/>
  <c r="N23" i="10"/>
  <c r="M54" i="10"/>
  <c r="D27" i="10"/>
  <c r="I18" i="18"/>
  <c r="C57" i="13"/>
  <c r="N21" i="14"/>
  <c r="M20" i="6"/>
  <c r="C23" i="6"/>
  <c r="L48" i="6"/>
  <c r="M70" i="15"/>
  <c r="M37" i="15"/>
  <c r="D18" i="18"/>
  <c r="I39" i="18" l="1"/>
  <c r="B18" i="18"/>
  <c r="G28" i="18"/>
  <c r="G26" i="18"/>
  <c r="B21" i="18"/>
  <c r="G74" i="17"/>
  <c r="U57" i="13"/>
  <c r="G37" i="17"/>
  <c r="R111" i="13"/>
  <c r="J56" i="13"/>
  <c r="D31" i="12"/>
  <c r="L58" i="10"/>
  <c r="D39" i="12"/>
  <c r="D42" i="18" s="1"/>
  <c r="B42" i="18" s="1"/>
  <c r="D25" i="12"/>
  <c r="D17" i="12"/>
  <c r="D26" i="18" s="1"/>
  <c r="L27" i="10"/>
  <c r="B30" i="10"/>
  <c r="D35" i="18"/>
  <c r="D18" i="12"/>
  <c r="D19" i="12"/>
  <c r="E39" i="18"/>
  <c r="E104" i="17"/>
  <c r="D104" i="17"/>
  <c r="F29" i="18"/>
  <c r="B29" i="18" s="1"/>
  <c r="M111" i="13"/>
  <c r="M57" i="13"/>
  <c r="B74" i="17"/>
  <c r="B37" i="17"/>
  <c r="B56" i="13"/>
  <c r="S57" i="13"/>
  <c r="P111" i="13"/>
  <c r="H56" i="13"/>
  <c r="F37" i="17"/>
  <c r="F74" i="17"/>
  <c r="T57" i="13"/>
  <c r="Q111" i="13"/>
  <c r="I56" i="13"/>
  <c r="E74" i="17"/>
  <c r="G39" i="18"/>
  <c r="N57" i="13"/>
  <c r="C56" i="13"/>
  <c r="C74" i="17"/>
  <c r="C37" i="17"/>
  <c r="N111" i="13"/>
  <c r="O57" i="13"/>
  <c r="D56" i="13"/>
  <c r="E102" i="17"/>
  <c r="D102" i="17"/>
  <c r="O23" i="6"/>
  <c r="M51" i="6"/>
  <c r="O27" i="10"/>
  <c r="E30" i="10"/>
  <c r="O30" i="10" s="1"/>
  <c r="H73" i="17"/>
  <c r="H36" i="17"/>
  <c r="S110" i="13"/>
  <c r="K58" i="13"/>
  <c r="V56" i="13"/>
  <c r="F102" i="17"/>
  <c r="G27" i="18"/>
  <c r="O113" i="13"/>
  <c r="Q59" i="13"/>
  <c r="S30" i="10"/>
  <c r="P60" i="10"/>
  <c r="M23" i="6"/>
  <c r="C35" i="18"/>
  <c r="B35" i="18" s="1"/>
  <c r="L51" i="6"/>
  <c r="F39" i="18"/>
  <c r="F25" i="12"/>
  <c r="F31" i="12"/>
  <c r="N58" i="10"/>
  <c r="F30" i="10"/>
  <c r="F17" i="12"/>
  <c r="P27" i="10"/>
  <c r="F19" i="12"/>
  <c r="F39" i="12"/>
  <c r="F18" i="12"/>
  <c r="F104" i="17"/>
  <c r="B102" i="17"/>
  <c r="E26" i="18"/>
  <c r="B26" i="18" s="1"/>
  <c r="P70" i="15"/>
  <c r="S37" i="15"/>
  <c r="M58" i="10"/>
  <c r="D30" i="10"/>
  <c r="E25" i="12"/>
  <c r="E17" i="12"/>
  <c r="E31" i="12"/>
  <c r="N27" i="10"/>
  <c r="E39" i="12"/>
  <c r="E19" i="12"/>
  <c r="E18" i="12"/>
  <c r="B104" i="17"/>
  <c r="E27" i="18"/>
  <c r="N56" i="13" l="1"/>
  <c r="C58" i="13"/>
  <c r="G73" i="17"/>
  <c r="G36" i="17"/>
  <c r="R110" i="13"/>
  <c r="J58" i="13"/>
  <c r="U56" i="13"/>
  <c r="H75" i="17"/>
  <c r="H38" i="17"/>
  <c r="J37" i="16"/>
  <c r="J11" i="16"/>
  <c r="V58" i="13"/>
  <c r="S112" i="13"/>
  <c r="J45" i="16"/>
  <c r="K59" i="13"/>
  <c r="J10" i="16"/>
  <c r="J13" i="16"/>
  <c r="J27" i="16"/>
  <c r="H103" i="17" s="1"/>
  <c r="P110" i="13"/>
  <c r="S56" i="13"/>
  <c r="H58" i="13"/>
  <c r="L30" i="10"/>
  <c r="L60" i="10"/>
  <c r="N60" i="10"/>
  <c r="P30" i="10"/>
  <c r="C36" i="17"/>
  <c r="C73" i="17"/>
  <c r="D58" i="13"/>
  <c r="N110" i="13"/>
  <c r="O56" i="13"/>
  <c r="N30" i="10"/>
  <c r="M60" i="10"/>
  <c r="F73" i="17"/>
  <c r="F36" i="17"/>
  <c r="Q110" i="13"/>
  <c r="I58" i="13"/>
  <c r="T56" i="13"/>
  <c r="E73" i="17"/>
  <c r="B73" i="17"/>
  <c r="B36" i="17"/>
  <c r="M56" i="13"/>
  <c r="B58" i="13"/>
  <c r="M110" i="13"/>
  <c r="D28" i="18"/>
  <c r="D27" i="18"/>
  <c r="B27" i="18" s="1"/>
  <c r="D39" i="18"/>
  <c r="B39" i="18" s="1"/>
  <c r="F75" i="17" l="1"/>
  <c r="F38" i="17"/>
  <c r="H37" i="16"/>
  <c r="H11" i="16"/>
  <c r="Q112" i="13"/>
  <c r="T58" i="13"/>
  <c r="H45" i="16"/>
  <c r="I59" i="13"/>
  <c r="H13" i="16"/>
  <c r="H10" i="16"/>
  <c r="H27" i="16"/>
  <c r="E75" i="17"/>
  <c r="C75" i="17"/>
  <c r="E37" i="16"/>
  <c r="N112" i="13"/>
  <c r="C38" i="17"/>
  <c r="O58" i="13"/>
  <c r="E11" i="16"/>
  <c r="E45" i="16"/>
  <c r="E13" i="16"/>
  <c r="D59" i="13"/>
  <c r="E10" i="16"/>
  <c r="E27" i="16"/>
  <c r="C103" i="17" s="1"/>
  <c r="S113" i="13"/>
  <c r="V59" i="13"/>
  <c r="P112" i="13"/>
  <c r="S58" i="13"/>
  <c r="H59" i="13"/>
  <c r="B75" i="17"/>
  <c r="D37" i="16"/>
  <c r="E40" i="18" s="1"/>
  <c r="B40" i="18" s="1"/>
  <c r="M112" i="13"/>
  <c r="B38" i="17"/>
  <c r="D11" i="16"/>
  <c r="E17" i="18" s="1"/>
  <c r="B17" i="18" s="1"/>
  <c r="M58" i="13"/>
  <c r="D45" i="16"/>
  <c r="E43" i="18" s="1"/>
  <c r="B43" i="18" s="1"/>
  <c r="B59" i="13"/>
  <c r="D10" i="16"/>
  <c r="E16" i="18" s="1"/>
  <c r="B16" i="18" s="1"/>
  <c r="D13" i="16"/>
  <c r="E19" i="18" s="1"/>
  <c r="B19" i="18" s="1"/>
  <c r="D27" i="16"/>
  <c r="N58" i="13"/>
  <c r="C59" i="13"/>
  <c r="N59" i="13" s="1"/>
  <c r="I11" i="16"/>
  <c r="I37" i="16"/>
  <c r="G75" i="17"/>
  <c r="G38" i="17"/>
  <c r="R112" i="13"/>
  <c r="U58" i="13"/>
  <c r="I45" i="16"/>
  <c r="I10" i="16"/>
  <c r="I13" i="16"/>
  <c r="J59" i="13"/>
  <c r="I27" i="16"/>
  <c r="G103" i="17" s="1"/>
  <c r="B103" i="17" l="1"/>
  <c r="E28" i="18"/>
  <c r="B28" i="18" s="1"/>
  <c r="N113" i="13"/>
  <c r="O59" i="13"/>
  <c r="M113" i="13"/>
  <c r="M59" i="13"/>
  <c r="F103" i="17"/>
  <c r="E103" i="17"/>
  <c r="S59" i="13"/>
  <c r="P113" i="13"/>
  <c r="R113" i="13"/>
  <c r="U59" i="13"/>
  <c r="T59" i="13"/>
  <c r="Q11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800-000001000000}">
      <text>
        <r>
          <rPr>
            <sz val="10"/>
            <rFont val="Arial"/>
            <family val="2"/>
          </rPr>
          <t>Kontrol notu: AKSEN 2024 ve 2025 yılları KV Finansal Yatırımlar=0. 2023'te 1.265 mn TL iken 2024'te sıfırlandı. Büyük olasılıkla nakde dönüştürüldü (Nakit 2025'te 6.5 mn TL'ye yükseldi). KAP/yıllık rapor ile çapraz kontrol önerilir.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4" authorId="0" shapeId="0" xr:uid="{00000000-0006-0000-0F00-000001000000}">
      <text>
        <r>
          <rPr>
            <sz val="10"/>
            <rFont val="Arial"/>
            <family val="2"/>
          </rPr>
          <t>Çapraz kontrol: PD=99.859 Bn TL / Net Kar=3.172 Bn TL = 31.49x ✓
2024 zararından (HBK=-4.11 TL) toparlanma nedeniyle yüksek görünüyor.
Matematiksel olarak doğru; sektör ortalamasına kıyasla izlenmeli.</t>
        </r>
      </text>
    </comment>
  </commentList>
</comments>
</file>

<file path=xl/sharedStrings.xml><?xml version="1.0" encoding="utf-8"?>
<sst xmlns="http://schemas.openxmlformats.org/spreadsheetml/2006/main" count="2706" uniqueCount="931">
  <si>
    <t>GALATA WIND ENERJİ A.Ş. — KONSOLİDE BİLANÇO / CONSOLIDATED BALANCE SHEET (BİN TL)</t>
  </si>
  <si>
    <t>DİKEY ANALİZ (% Toplam Aktifler)</t>
  </si>
  <si>
    <t>KALEM (BİN TL)</t>
  </si>
  <si>
    <t>31.12.2025
(2025 SAG)</t>
  </si>
  <si>
    <t>31.12.2024
(2025 SAG)</t>
  </si>
  <si>
    <t>31.12.2024
(2024 SAG)</t>
  </si>
  <si>
    <t>31.12.2023
(2024 SAG)</t>
  </si>
  <si>
    <t>31.12.2023
(2023 SAG)</t>
  </si>
  <si>
    <t>31.12.2022
(2023 SAG)</t>
  </si>
  <si>
    <t>31.12.2022
(Nominal)</t>
  </si>
  <si>
    <t>31.12.2021
(Nominal)</t>
  </si>
  <si>
    <t>31.12.2020
(Nominal)</t>
  </si>
  <si>
    <t>VARLIKLAR / ASSETS</t>
  </si>
  <si>
    <t>DÖNEN VARLIKLAR / CURRENT ASSETS</t>
  </si>
  <si>
    <t xml:space="preserve">    Nakit ve Nakit Benzerleri (Cash &amp; equivalents)</t>
  </si>
  <si>
    <t xml:space="preserve">    Finansal Yatırımlar KV (ST financial investments)</t>
  </si>
  <si>
    <t xml:space="preserve">    Ticari Alacaklar (Trade receivables, net)</t>
  </si>
  <si>
    <t xml:space="preserve">    Stoklar (Inventories)</t>
  </si>
  <si>
    <t xml:space="preserve">    Diğer Dönen Varlıklar (Peşin öd., diğer alacaklar, vb.)</t>
  </si>
  <si>
    <t>DÖNEN VARLIKLAR TOPLAM (TOTAL CURRENT ASSETS)</t>
  </si>
  <si>
    <t>DURAN VARLIKLAR / NON-CURRENT ASSETS</t>
  </si>
  <si>
    <t xml:space="preserve">    Maddi Duran Varlıklar (Property, plant &amp; equipment)</t>
  </si>
  <si>
    <t xml:space="preserve">    Maddi Olmayan Duran Varlıklar (Lis., Şerefiye, Haklar)</t>
  </si>
  <si>
    <t xml:space="preserve">    Diğer Duran Varlıklar (Türev, KHV, Peşin Öd., ETVarlık)</t>
  </si>
  <si>
    <t>DURAN VARLIKLAR TOPLAM (TOTAL NON-CURRENT ASSETS)</t>
  </si>
  <si>
    <t>TOPLAM VARLIKLAR (TOTAL ASSETS)</t>
  </si>
  <si>
    <t>KAYNAKLAR / LIABILITIES &amp; EQUITY</t>
  </si>
  <si>
    <t>KISA VADELİ YÜKÜMLÜLÜKLER / CURRENT LIABILITIES</t>
  </si>
  <si>
    <t xml:space="preserve">    Kısa Vadeli Finansal Borçlar (ST borrowings + lease ST)</t>
  </si>
  <si>
    <t xml:space="preserve">    Ticari Borçlar (Trade payables, related + 3rd party)</t>
  </si>
  <si>
    <t xml:space="preserve">    Diğer KV Yükümlülükler (diğer borçlar, karşılıklar, vb.)</t>
  </si>
  <si>
    <t>KV YÜKÜMLÜLÜKLER TOPLAM (TOTAL CURRENT LIABILITIES)</t>
  </si>
  <si>
    <t>UZUN VADELİ YÜKÜMLÜLÜKLER / NON-CURRENT LIABILITIES</t>
  </si>
  <si>
    <t xml:space="preserve">    Uzun Vadeli Finansal Borçlar (LT borrowings + lease LT)</t>
  </si>
  <si>
    <t xml:space="preserve">    Diğer UV Yükümlülükler (ETVergi, uzun vad. karşılıklar)</t>
  </si>
  <si>
    <t>UV YÜKÜMLÜLÜKLER TOPLAM (TOTAL NON-CURRENT LIABILITIES)</t>
  </si>
  <si>
    <t>TOPLAM YÜKÜMLÜLÜKLER (TOTAL LIABILITIES)</t>
  </si>
  <si>
    <t>ÖZKAYNAKLAR / EQUITY</t>
  </si>
  <si>
    <t xml:space="preserve">    Ödenmiş Sermaye (Paid-in capital)</t>
  </si>
  <si>
    <t xml:space="preserve">    Sermaye Düzeltme Farkları / SAG (Capital adj. differences)</t>
  </si>
  <si>
    <t xml:space="preserve">    Diğer Özkaynak (Primler, OCI, Yedekler)</t>
  </si>
  <si>
    <t xml:space="preserve">    Geçmiş Yıl + Net Dönem Karı (Retained + Net profit)</t>
  </si>
  <si>
    <t>ÖZKAYNAKLAR TOPLAM (TOTAL EQUITY)</t>
  </si>
  <si>
    <t>TOPLAM KAYNAKLAR (TOTAL LIAB. + EQUITY)</t>
  </si>
  <si>
    <t>YATAY ANALİZ (Aynı SAG YoY %)</t>
  </si>
  <si>
    <t>KALEM</t>
  </si>
  <si>
    <t>2025/2024(SAG)</t>
  </si>
  <si>
    <t>2024/2023(SAG)</t>
  </si>
  <si>
    <t>2023/2022(SAG)</t>
  </si>
  <si>
    <t>2022/2021(Nom)</t>
  </si>
  <si>
    <t>2021/2020(Nom)</t>
  </si>
  <si>
    <t>Nakit ve Nakit Benzerleri</t>
  </si>
  <si>
    <t>Finansal Yatırımlar KV</t>
  </si>
  <si>
    <t>Ticari Alacaklar</t>
  </si>
  <si>
    <t>Stoklar</t>
  </si>
  <si>
    <t>Diğer Dönen Varlıklar</t>
  </si>
  <si>
    <t>DÖNEN VARLIKLAR TOPLAM</t>
  </si>
  <si>
    <t>Maddi Duran Varlıklar</t>
  </si>
  <si>
    <t>Maddi Olmayan Duran Varlıklar</t>
  </si>
  <si>
    <t>Diğer Duran Varlıklar</t>
  </si>
  <si>
    <t>DURAN VARLIKLAR TOPLAM</t>
  </si>
  <si>
    <t>TOPLAM VARLIKLAR</t>
  </si>
  <si>
    <t>KV Finansal Borçlar</t>
  </si>
  <si>
    <t>Ticari Borçlar</t>
  </si>
  <si>
    <t>KV YÜKÜMLÜLÜKLER TOPLAM</t>
  </si>
  <si>
    <t>UV Finansal Borçlar</t>
  </si>
  <si>
    <t>UV YÜKÜMLÜLÜKLER TOPLAM</t>
  </si>
  <si>
    <t>TOPLAM YÜKÜMLÜLÜKLER</t>
  </si>
  <si>
    <t>Ödenmiş Sermaye</t>
  </si>
  <si>
    <t>Sermaye Düzeltme Farkları</t>
  </si>
  <si>
    <t>ÖZKAYNAKLAR TOPLAM</t>
  </si>
  <si>
    <t>TOPLAM KAYNAKLAR</t>
  </si>
  <si>
    <t>GALATA WIND ENERJİ A.Ş. — GELİR TABLOSU / INCOME STATEMENT (BİN TL)</t>
  </si>
  <si>
    <t>DİKEY ANALİZ (% Hasılat)</t>
  </si>
  <si>
    <t>GELİR TABLOSU / INCOME STATEMENT (TFRS - TMS29 Satın Alma Gücü Düzeltmeli)</t>
  </si>
  <si>
    <t>Hasılat (Net Revenue)</t>
  </si>
  <si>
    <t xml:space="preserve">        Satışların Maliyeti (-) (Cost of sales)</t>
  </si>
  <si>
    <t>BRÜT KAR / GROSS PROFIT</t>
  </si>
  <si>
    <t xml:space="preserve">        Genel Yönetim Giderleri (-) (G&amp;A expenses)</t>
  </si>
  <si>
    <t xml:space="preserve">        Pazarlama Giderleri (-) (Marketing expenses)</t>
  </si>
  <si>
    <t xml:space="preserve">        Esas Faaliyetlerden Diğer Gelirler (Other op. income)</t>
  </si>
  <si>
    <t xml:space="preserve">        Esas Faaliyetlerden Diğer Giderler (-) (Other op. exp.)</t>
  </si>
  <si>
    <t>FAALİYET KARI (EBIT) / OPERATING PROFIT</t>
  </si>
  <si>
    <t xml:space="preserve">        (+) Amortisman ve İtfa (D&amp;A add-back)</t>
  </si>
  <si>
    <t>FAVÖK / EBITDA</t>
  </si>
  <si>
    <t xml:space="preserve">        Finansman Giderleri (-) (Finance expenses, net)</t>
  </si>
  <si>
    <t xml:space="preserve">        Net Parasal Pozisyon Kazancı/(Kaybı) (TMS29 Monetary gain/loss)</t>
  </si>
  <si>
    <t>VERGİ ÖNCESİ KAR / PROFIT BEFORE TAX (PBT)</t>
  </si>
  <si>
    <t xml:space="preserve">        Dönem Vergi Gideri (-) (Current tax expense)</t>
  </si>
  <si>
    <t xml:space="preserve">        Ertelenmiş Vergi Gel./(Gid.) (Deferred tax income/(expense))</t>
  </si>
  <si>
    <t xml:space="preserve">    Toplam Vergi (-) / Total Tax Expense</t>
  </si>
  <si>
    <t>NET DÖNEM KARI / NET PROFIT</t>
  </si>
  <si>
    <t xml:space="preserve">        Hisse Başına Kazanç / EPS (TL)</t>
  </si>
  <si>
    <t>Satışların Maliyeti</t>
  </si>
  <si>
    <t>BRÜT KAR</t>
  </si>
  <si>
    <t>Genel Yönetim Giderleri</t>
  </si>
  <si>
    <t>Pazarlama Giderleri</t>
  </si>
  <si>
    <t>Esas Faaliyetlerden Diğer Gelirler</t>
  </si>
  <si>
    <t>Esas Faaliyetlerden Diğer Giderler</t>
  </si>
  <si>
    <t>FAALİYET KARI (EBIT)</t>
  </si>
  <si>
    <t>(+) Amortisman ve İtfa</t>
  </si>
  <si>
    <t>Finansman Giderleri (Net)</t>
  </si>
  <si>
    <t>Net Parasal Poz. Kazancı (TMS29)</t>
  </si>
  <si>
    <t>VERGİ ÖNCESİ KAR</t>
  </si>
  <si>
    <t>Dönem Vergi Gideri</t>
  </si>
  <si>
    <t>Ertelenmiş Vergi</t>
  </si>
  <si>
    <t>Toplam Vergi</t>
  </si>
  <si>
    <t>NET DÖNEM KARI</t>
  </si>
  <si>
    <t>GALATA WIND ENERJİ A.Ş. — NAKİT AKIŞ TABLOSU / CASH FLOW (BİN TL)</t>
  </si>
  <si>
    <t>DİKEY ANALİZ (% İşletme Nakit Akışı)</t>
  </si>
  <si>
    <t>NAKİT AKIŞ TABLOSU / CASH FLOW STATEMENT (TFRS)</t>
  </si>
  <si>
    <t>Dönem Karı / Net profit</t>
  </si>
  <si>
    <t xml:space="preserve">        (+) Amortisman ve İtfa / Depreciation &amp; amortization</t>
  </si>
  <si>
    <t xml:space="preserve">        Karşılıklar ve Düzeltmeler / Provisions &amp; adjustments</t>
  </si>
  <si>
    <t xml:space="preserve">        Diğer Düzeltmeler (Faiz, Vergi, GUD, Kur) / Other adj.</t>
  </si>
  <si>
    <t xml:space="preserve">        Parasal Poz. Düzeltmesi (TMS29) / Monetary adj.</t>
  </si>
  <si>
    <t xml:space="preserve">        İşletme Sermayesi Değişimleri / Working capital changes</t>
  </si>
  <si>
    <t xml:space="preserve">        Diğer / Other operating adjustments</t>
  </si>
  <si>
    <t>İŞLETME FAALİYETLERİNDEN NAKİT AKIŞI (OCF)</t>
  </si>
  <si>
    <t>YATIRIM FAALİYETLERİNDEN NAKİT AKIŞLARI / INVESTING</t>
  </si>
  <si>
    <t xml:space="preserve">        (-) CAPEX — Maddi+Maddi Olmayan Duran Varlık Alımları</t>
  </si>
  <si>
    <t xml:space="preserve">        Diğer Yatırım Faaliyetleri / Other investing activities</t>
  </si>
  <si>
    <t>YATIRIM FAALİYETLERİNDEN NAKİT AKIŞI (ICF)</t>
  </si>
  <si>
    <t>FİNANSMAN FAALİYETLERİNDEN NAKİT AKIŞLARI / FINANCING</t>
  </si>
  <si>
    <t xml:space="preserve">        Borçlanmalardan/Ödemelerden Net Nakit / Net borrowings</t>
  </si>
  <si>
    <t xml:space="preserve">        (-) Ödenen Temettüler / Dividends paid</t>
  </si>
  <si>
    <t xml:space="preserve">        Diğer Finansman (Faiz, Diğer) / Other financing</t>
  </si>
  <si>
    <t>FİNANSMAN FAALİYETLERİNDEN NAKİT AKIŞI (FCF)</t>
  </si>
  <si>
    <t>Nakit Üzerindeki Enflasyon Etkisi / Inflation effect on cash</t>
  </si>
  <si>
    <t>Yabancı Para Çevrim Farkları / FX translation differences</t>
  </si>
  <si>
    <t>NAKİT NET ARTIŞ/(AZALIŞ) / Net change in cash</t>
  </si>
  <si>
    <t>Dönem Başı Nakit / Cash at beginning of period</t>
  </si>
  <si>
    <t>DÖNEM SONU NAKİT / Cash at end of period</t>
  </si>
  <si>
    <t>NOT: B/C/D sütunlarındaki küçük farklar PDF'deki Nakit akışı ile Bilanço'daki Nakit kapsamı arasındaki tanım farkından kaynaklanmaktadır (kısa vadeli mevduat ve benzeri kalemler).</t>
  </si>
  <si>
    <t>İŞLETME FAALİYETLERİNDEN NAKİT AKIŞI</t>
  </si>
  <si>
    <t>CAPEX (Sabit Sermaye Yatırımları)</t>
  </si>
  <si>
    <t>YATIRIM FAALİYETLERİNDEN NAKİT AKIŞI</t>
  </si>
  <si>
    <t>Borçlanmalar (net)</t>
  </si>
  <si>
    <t>Ödenen Temettüler</t>
  </si>
  <si>
    <t>FİNANSMAN FAALİYETLERİNDEN NAKİT AKIŞI</t>
  </si>
  <si>
    <t>NAKİT NET ARTIŞ/(AZALIŞ)</t>
  </si>
  <si>
    <t>Dönem Başı Nakit</t>
  </si>
  <si>
    <t>DÖNEM SONU NAKİT</t>
  </si>
  <si>
    <t>NOTLAR / NOTES:</t>
  </si>
  <si>
    <t>• 9 sütun yapısı: Her SAG dönemi kendi satın alma gücü cinsinden gösterilmektedir (ASTOR/AKSEN/ENJSA ile aynı format).</t>
  </si>
  <si>
    <t>• TMS29 'Nakit üzerindeki enflasyon etkisi' 2023'ten itibaren; 2022 ve öncesi Nominal TL (TMS29 öncesi dönem).</t>
  </si>
  <si>
    <t>• BS ve GelirTablosu tüm 9 sütun için denetçi PDF'leriyle tam mutabakatlıdır (Deloitte 2024-2025, PwC 2020-2023).</t>
  </si>
  <si>
    <t>• Nakit akış tablosu bileşen tutarları PDFlerden alınan tahmini değerler olabilir; BS ve PL tabloları esas referanstır.</t>
  </si>
  <si>
    <t>GALATA WIND ENERJİ A.Ş. — FİNANSAL ORAN ANALİZİ / FINANCIAL RATIO ANALYSIS (2020–2025)</t>
  </si>
  <si>
    <t>Oran Adı</t>
  </si>
  <si>
    <t>Formül / Formula</t>
  </si>
  <si>
    <t>Sektörel Referans</t>
  </si>
  <si>
    <t>2025</t>
  </si>
  <si>
    <t>2024</t>
  </si>
  <si>
    <t>2023</t>
  </si>
  <si>
    <t>2022</t>
  </si>
  <si>
    <t>2021</t>
  </si>
  <si>
    <t>2020</t>
  </si>
  <si>
    <t>LİKİDİTE ORANLARI / LIQUIDITY RATIOS</t>
  </si>
  <si>
    <t>Cari Oran (Current Ratio)</t>
  </si>
  <si>
    <t>Dönen Var. / KV Yükümlülükler</t>
  </si>
  <si>
    <t>1.50–2.00x</t>
  </si>
  <si>
    <t>Asit-Test Oranı (Quick Ratio)</t>
  </si>
  <si>
    <t>(Dönen Var. - Stoklar) / KV Y.</t>
  </si>
  <si>
    <t>0.80–1.50x</t>
  </si>
  <si>
    <t>Nakit Oranı (Cash Ratio)</t>
  </si>
  <si>
    <t>(Nakit + Fin.Yatırım KV) / KV Y.</t>
  </si>
  <si>
    <t>&gt; 0.20x</t>
  </si>
  <si>
    <t>BORÇLULUK / FİNANSAL YAPI ORANLARI / LEVERAGE &amp; SOLVENCY</t>
  </si>
  <si>
    <t>Kaldıraç Oranı (Debt-to-Assets)</t>
  </si>
  <si>
    <t>Toplam Yüküm. / Toplam Aktifler</t>
  </si>
  <si>
    <t>%40–%60</t>
  </si>
  <si>
    <t>Borç / Özkaynak (D/E)</t>
  </si>
  <si>
    <t>Toplam Yüküm. / Özkaynak</t>
  </si>
  <si>
    <t>0.50–1.50x</t>
  </si>
  <si>
    <t>Fin. Borç / Özkaynak (Net Debt Ratio)</t>
  </si>
  <si>
    <t>(KV+UV Fin.Borç) / Özkaynak</t>
  </si>
  <si>
    <t>0.30–1.00x</t>
  </si>
  <si>
    <t>Net Borç / FAVÖK</t>
  </si>
  <si>
    <t>(Fin.Borç - Nakit - Fin.Yat.) / FAVÖK</t>
  </si>
  <si>
    <t>&lt; 2.00x</t>
  </si>
  <si>
    <t>Faiz Karşılama (Interest Coverage)</t>
  </si>
  <si>
    <t>EBIT / |Finansman Giderleri|</t>
  </si>
  <si>
    <t>&gt; 4.00x</t>
  </si>
  <si>
    <t>Özkaynak Çarpanı (Equity Multiplier)</t>
  </si>
  <si>
    <t>Toplam Aktifler / Özkaynak</t>
  </si>
  <si>
    <t>1.50–2.50x</t>
  </si>
  <si>
    <t>KARLILIK ORANLARI / PROFITABILITY RATIOS</t>
  </si>
  <si>
    <t>Brüt Kar Marjı (Gross Margin)</t>
  </si>
  <si>
    <t>Brüt Kar / Hasılat</t>
  </si>
  <si>
    <t>%50–%70 (enerji üret.)</t>
  </si>
  <si>
    <t>FAVÖK Marjı (EBITDA Margin)</t>
  </si>
  <si>
    <t>FAVÖK / Hasılat</t>
  </si>
  <si>
    <t>%60–%90 (enerji üret.)</t>
  </si>
  <si>
    <t>EBIT Marjı (Operating Margin)</t>
  </si>
  <si>
    <t>EBIT / Hasılat</t>
  </si>
  <si>
    <t>%50–%80 (enerji üret.)</t>
  </si>
  <si>
    <t>Net Kar Marjı (Net Margin)</t>
  </si>
  <si>
    <t>Net Kar / Hasılat</t>
  </si>
  <si>
    <t>%20–%50</t>
  </si>
  <si>
    <t>ROA (Aktif Karlılığı)</t>
  </si>
  <si>
    <t>Net Kar / Toplam Aktifler (YE)</t>
  </si>
  <si>
    <t>%5–%15</t>
  </si>
  <si>
    <t>ROE (Özkaynak Karlılığı)</t>
  </si>
  <si>
    <t>Net Kar / Özkaynak (YE)</t>
  </si>
  <si>
    <t>%15–%35</t>
  </si>
  <si>
    <t>Karlılık Kaldıracı (ROE / ROA)</t>
  </si>
  <si>
    <t>ROE / ROA</t>
  </si>
  <si>
    <t>—</t>
  </si>
  <si>
    <t>FAALİYET VERİMLİLİĞİ / OPERATING EFFICIENCY</t>
  </si>
  <si>
    <t>Aktif Devir Hızı (Asset Turnover)</t>
  </si>
  <si>
    <t>Hasılat / Toplam Aktifler</t>
  </si>
  <si>
    <t>0.15–0.40x</t>
  </si>
  <si>
    <t>Tic. Alacak Devir Hızı (T/R Turnover)</t>
  </si>
  <si>
    <t>Hasılat / Ticari Alacaklar</t>
  </si>
  <si>
    <t>5–20x</t>
  </si>
  <si>
    <t>Ort. Tahsilat Süresi (DSO, gün)</t>
  </si>
  <si>
    <t>365 / Alacak Devir Hızı</t>
  </si>
  <si>
    <t>20–80 gün</t>
  </si>
  <si>
    <t>Stok Devir Hızı (Inventory Turnover)</t>
  </si>
  <si>
    <t>SMM / Stoklar (YE)</t>
  </si>
  <si>
    <t>50–300x</t>
  </si>
  <si>
    <t>Ort. Stok Süresi (Days Inventory, gün)</t>
  </si>
  <si>
    <t>365 / Stok Devir Hızı</t>
  </si>
  <si>
    <t>1–10 gün</t>
  </si>
  <si>
    <t>Tic. Borç Devir Hızı (Trade Pay. Turnover)</t>
  </si>
  <si>
    <t>Hasılat / Ticari Borçlar</t>
  </si>
  <si>
    <t>10–50x</t>
  </si>
  <si>
    <t>NAKİT AKIŞ ORANLARI / CASH FLOW RATIOS</t>
  </si>
  <si>
    <t>İşletme Nakdi / Net Kar</t>
  </si>
  <si>
    <t>OCF / Net Dönem Karı</t>
  </si>
  <si>
    <t>&gt; 0.80x</t>
  </si>
  <si>
    <t>FAVÖK / Faiz Gideri</t>
  </si>
  <si>
    <t>FAVÖK / |Finansman Gid.|</t>
  </si>
  <si>
    <t>&gt; 3.00x</t>
  </si>
  <si>
    <t>Serbest Nakit Akışı / Hasılat</t>
  </si>
  <si>
    <t>(OCF + CAPEX) / Hasılat</t>
  </si>
  <si>
    <t>&gt; %5</t>
  </si>
  <si>
    <t>HİSSE ANALİZİ / EQUITY METRICS</t>
  </si>
  <si>
    <t>Hisse Adedi (mn) (Shares Outstanding)</t>
  </si>
  <si>
    <t>Ödenmiş Sermaye / 1000 (mn pay)</t>
  </si>
  <si>
    <t>Hisse Başına Kazanç - TL (EPS)</t>
  </si>
  <si>
    <t>Net Kar / Hisse Adedi (BinTL/BinTL = TL/pay)</t>
  </si>
  <si>
    <t>Hisse Başına Defter Değeri - TL (BVPS)</t>
  </si>
  <si>
    <t>Özkaynak / Hisse Adedi</t>
  </si>
  <si>
    <t>Hisse Başına Temettü - TL (DPS)</t>
  </si>
  <si>
    <t>|Ödenen Temettü| / Hisse Adedi</t>
  </si>
  <si>
    <t>DEĞERLEME ÇARPANLARI / VALUATION MULTIPLES</t>
  </si>
  <si>
    <t>Dönem Sonu Hisse Fiyatı - TL (Year-end share price)</t>
  </si>
  <si>
    <t>BIST son işlem günü kapanışı (Year-end close)</t>
  </si>
  <si>
    <t>N/A 2020 (halka arz öncesi)</t>
  </si>
  <si>
    <t>IPO öncesi / Pre-IPO</t>
  </si>
  <si>
    <t>Piyasa Değeri - Bin TL (Market Cap)</t>
  </si>
  <si>
    <t>Hisse Fiyatı × Hisse Adedi (BinTL)</t>
  </si>
  <si>
    <t>N/A</t>
  </si>
  <si>
    <t>F/K (P/E - Price/Earnings)</t>
  </si>
  <si>
    <t>Piyasa Değeri / Net Kar</t>
  </si>
  <si>
    <t>8–20x</t>
  </si>
  <si>
    <t>"N/A"</t>
  </si>
  <si>
    <t>PD/DD (P/B - Price/Book)</t>
  </si>
  <si>
    <t>Piyasa Değeri / Özkaynak</t>
  </si>
  <si>
    <t>1.0–4.0x</t>
  </si>
  <si>
    <t>FD/FAVÖK (EV/EBITDA)</t>
  </si>
  <si>
    <t>(PD + Net Fin.Borç) / FAVÖK</t>
  </si>
  <si>
    <t>5–12x</t>
  </si>
  <si>
    <t>Temettü Verimi (Dividend Yield)</t>
  </si>
  <si>
    <t>DPS / Hisse Fiyatı</t>
  </si>
  <si>
    <t>&gt; %1</t>
  </si>
  <si>
    <t>• D(2025)=B, E(2024)=D, F(2023)=F, G(2022)=H, H(2021)=I, I(2020)=J sütunları GWIND_BS/PLS/CFS'den alınmaktadır.</t>
  </si>
  <si>
    <t>• Her yıl kendi SAG (Satın Alma Gücü) referansında gösterilmektedir: 2023+ TMS29, 2020-2022 Nominal TL.</t>
  </si>
  <si>
    <t>• Tüm oranlar formül bazlıdır; GWIND_BS, GWIND_PLS veya GWIND_CFS'de değer değişirse otomatik güncellenir.</t>
  </si>
  <si>
    <t>• Hisse adedi = Ödenmiş Sermaye (GWIND_BS R30, BinTL = bin pay). GWIND nom. pay değeri 1 TL.</t>
  </si>
  <si>
    <t>• Hisse fiyatları (sarı hücreler) yıl sonu BIST kapanış değerleridir; güncellenebilir.</t>
  </si>
  <si>
    <t>• 2020 hisse fiyatı boş: GWIND Nisan 2021'de BIST'e kote olmuştur (IPO öncesi N/A).</t>
  </si>
  <si>
    <t>ASTOR ENERJİ A.Ş. — KONSOLİDE BİLANÇO / CONSOLIDATED BALANCE SHEET</t>
  </si>
  <si>
    <t>DİKEY ANALİZ (% TOPLAM AKTİF)</t>
  </si>
  <si>
    <t>VARLIKLAR</t>
  </si>
  <si>
    <t>DÖNEN VARLIKLAR</t>
  </si>
  <si>
    <t xml:space="preserve">    Finansal Yatırımlar (KV) (Short-term financial investments)</t>
  </si>
  <si>
    <t xml:space="preserve">    Ticari Alacaklar - İlişkili (Trade rec. - Related parties)</t>
  </si>
  <si>
    <t xml:space="preserve">    Ticari Alacaklar - Üçüncü (Trade rec. - Third parties)</t>
  </si>
  <si>
    <t xml:space="preserve">    Diğer Alacaklar (Other receivables - current)</t>
  </si>
  <si>
    <t xml:space="preserve">    Peşin Ödenmiş Giderler (Prepaid - current)</t>
  </si>
  <si>
    <t xml:space="preserve">    Diğer Dönen Varlıklar (Other current assets)</t>
  </si>
  <si>
    <t>DURAN VARLIKLAR</t>
  </si>
  <si>
    <t xml:space="preserve">    Diğer Alacaklar (UV) (Other receivables - non-current)</t>
  </si>
  <si>
    <t xml:space="preserve">    Finansal Yatırımlar (UV) (LT financial investments)</t>
  </si>
  <si>
    <t xml:space="preserve">    Maddi Olmayan Duran Varlıklar (Intangible assets)</t>
  </si>
  <si>
    <t xml:space="preserve">    Peşin Ödenmiş Giderler (UV) (Prepaid - non-current)</t>
  </si>
  <si>
    <t xml:space="preserve">    Ertelenmiş Vergi Varlıkları (Deferred tax assets)</t>
  </si>
  <si>
    <t>KAYNAKLAR</t>
  </si>
  <si>
    <t>KISA VADELİ YÜKÜMLÜLÜKLER</t>
  </si>
  <si>
    <t xml:space="preserve">    KV Borçlanmalar (ST borrowings)</t>
  </si>
  <si>
    <t xml:space="preserve">    UV Borçlanmaların KV Kısmı (Current portion of LT borrowings)</t>
  </si>
  <si>
    <t xml:space="preserve">    Ticari Borçlar (Trade payables)</t>
  </si>
  <si>
    <t xml:space="preserve">    Çalışanlara Borçlar (KV Karşılıklar içinde — sıfırlandı)</t>
  </si>
  <si>
    <t xml:space="preserve">    Diğer Borçlar (Other payables - current)</t>
  </si>
  <si>
    <t xml:space="preserve">    Ertelenmiş Gelirler (Deferred income)</t>
  </si>
  <si>
    <t xml:space="preserve">    Dönem Vergi Yükümlülüğü (Current income tax)</t>
  </si>
  <si>
    <t xml:space="preserve">    KV Karşılıklar (Short-term provisions)</t>
  </si>
  <si>
    <t xml:space="preserve">    Diğer KV Yükümlülükler (Other current liabilities)</t>
  </si>
  <si>
    <t xml:space="preserve">    Türev Araçlar (Derivative liabilities)</t>
  </si>
  <si>
    <t>UZUN VADELİ YÜKÜMLÜLÜKLER</t>
  </si>
  <si>
    <t xml:space="preserve">    Uzun Vadeli Borçlanmalar (Long-term borrowings)</t>
  </si>
  <si>
    <t xml:space="preserve">    Uzun Vadeli Karşılıklar (Long-term provisions)</t>
  </si>
  <si>
    <t xml:space="preserve">    Ertelenmiş Vergi Yükümlülüğü (Deferred tax liabilities)</t>
  </si>
  <si>
    <t>ÖZKAYNAKLAR</t>
  </si>
  <si>
    <t xml:space="preserve">    Sermaye Düzeltme Farkları (Cap. adjustment differences)</t>
  </si>
  <si>
    <t xml:space="preserve">    Hisse Senedi Primleri (Share premiums)</t>
  </si>
  <si>
    <t xml:space="preserve">    Kar Yedekleri (Retained earnings reserves)</t>
  </si>
  <si>
    <t xml:space="preserve">    Yeniden Değerleme ve Diğer Kapsamlı Gelir</t>
  </si>
  <si>
    <t xml:space="preserve">    Geçmiş Yıllar Karları (Retained earnings)</t>
  </si>
  <si>
    <t xml:space="preserve">    Net Dönem Karı (Net profit for the period)</t>
  </si>
  <si>
    <t>TOPLAM YÜKÜMLÜLÜKLER VE ÖZKAYNAKLAR (TOTAL LIAB. &amp; EQUITY)</t>
  </si>
  <si>
    <t>YATAY ANALİZ (YoY % Değişim — Aynı Satın Alma Gücü)</t>
  </si>
  <si>
    <t>2025/2024</t>
  </si>
  <si>
    <t>2024/2023</t>
  </si>
  <si>
    <t>2023/2022</t>
  </si>
  <si>
    <t>2022/2021</t>
  </si>
  <si>
    <t>2021/2020</t>
  </si>
  <si>
    <t>ASTOR ENERJİ A.Ş. — KONSOLİDE KAR/ZARAR TABLOSU / CONSOLIDATED P&amp;L</t>
  </si>
  <si>
    <t>DİKEY ANALİZ (% HASILAT)</t>
  </si>
  <si>
    <t xml:space="preserve">    Satışların Maliyeti (Cost of sales)</t>
  </si>
  <si>
    <t>BRÜT KAR (Gross Profit)</t>
  </si>
  <si>
    <t xml:space="preserve">    Genel Yönetim Giderleri (G&amp;A expenses)</t>
  </si>
  <si>
    <t xml:space="preserve">    Pazarlama, Satış ve Dağıtım Giderleri (S&amp;M expenses)</t>
  </si>
  <si>
    <t xml:space="preserve">    Araştırma ve Geliştirme Giderleri (R&amp;D expenses)</t>
  </si>
  <si>
    <t xml:space="preserve">    Esas Faaliyetlerden Diğer Gelirler (Other operating income)</t>
  </si>
  <si>
    <t xml:space="preserve">    Esas Faaliyetlerden Diğer Giderler (Other operating exp.)</t>
  </si>
  <si>
    <t>FAALİYET KARI (Operating Profit / EBIT)</t>
  </si>
  <si>
    <t xml:space="preserve">    (+) Amortisman ve İtfa Payları (Depreciation &amp; amort.)</t>
  </si>
  <si>
    <t>FAVÖK (EBITDA)</t>
  </si>
  <si>
    <t xml:space="preserve">    Yatırım Faaliyetlerinden Gelirler (Income from investments)</t>
  </si>
  <si>
    <t xml:space="preserve">    Yatırım Faaliyetlerinden Giderler (Expenses from inv.)</t>
  </si>
  <si>
    <t>Finansman Öncesi Faaliyet Karı (Op. profit before fin.)</t>
  </si>
  <si>
    <t xml:space="preserve">    Finansal Gelirler (Financial income)</t>
  </si>
  <si>
    <t xml:space="preserve">    Finansal Giderler (Financial expenses)</t>
  </si>
  <si>
    <t xml:space="preserve">    Net Parasal Pozisyon Kaybı (Net monetary loss)</t>
  </si>
  <si>
    <t>VERGİ ÖNCESİ KAR (Profit before tax)</t>
  </si>
  <si>
    <t xml:space="preserve">    Dönem Vergi Gideri (Current tax expense)</t>
  </si>
  <si>
    <t xml:space="preserve">    Ertelenmiş Vergi Geliri/(Gideri) (Deferred tax inc./(exp.))</t>
  </si>
  <si>
    <t>NET DÖNEM KARI (Net Profit)</t>
  </si>
  <si>
    <t xml:space="preserve">    Hisse Başına Kazanç - TL (Earnings per Share)</t>
  </si>
  <si>
    <t>ASTOR ENERJİ A.Ş. — KONSOLİDE NAKİT AKIŞ TABLOSU / CONSOLIDATED CASH FLOW</t>
  </si>
  <si>
    <t>DİKEY ANALİZ (% İŞL. NAKİT AKIŞI)</t>
  </si>
  <si>
    <t>A. İŞLETME FAALİYETLERİNDEN NAKİT AKIŞLARI</t>
  </si>
  <si>
    <t>İŞLETME FAALİYETLERİNDEN NAKİT AKIŞI (Operating Cash Flow)</t>
  </si>
  <si>
    <t xml:space="preserve">    Dönem Karı (Profit for the year)</t>
  </si>
  <si>
    <t xml:space="preserve">    (+) Amortisman ve İtfa (Depreciation &amp; amortization)</t>
  </si>
  <si>
    <t xml:space="preserve">    Karşılık Gid. ve Diğer Düz. (Provisions &amp; other adj.)</t>
  </si>
  <si>
    <t xml:space="preserve">    Faiz Düz. - Net (Net interest adjustments)</t>
  </si>
  <si>
    <t xml:space="preserve">    Parasal Kazanç/Kayıp (Monetary gain/loss adj.)</t>
  </si>
  <si>
    <t xml:space="preserve">    Diğer Düzeltmeler (Other adjustments)</t>
  </si>
  <si>
    <t xml:space="preserve">    İşletme Sermayesi Değişimleri (Working capital changes)</t>
  </si>
  <si>
    <t xml:space="preserve">    (-) Ödenen Vergiler (Taxes paid)</t>
  </si>
  <si>
    <t>B. YATIRIM FAALİYETLERİNDEN NAKİT AKIŞLARI</t>
  </si>
  <si>
    <t>YATIRIM FAALİYETLERİNDEN NAKİT AKIŞI (Investing Cash Flow)</t>
  </si>
  <si>
    <t xml:space="preserve">    (-) MDV+MODV Alımları (Tangible/intangible CAPEX)</t>
  </si>
  <si>
    <t xml:space="preserve">    (+) MDV Satışlarından Girişler (Proceeds from sales)</t>
  </si>
  <si>
    <t xml:space="preserve">    (-) Finansal Yatırım Çıkışları (Financial investments)</t>
  </si>
  <si>
    <t>C. FİNANSMAN FAALİYETLERİNDEN NAKİT AKIŞLARI</t>
  </si>
  <si>
    <t>FİNANSMAN FAALİYETLERİNDEN NAKİT AKIŞI (Financing Cash Flow)</t>
  </si>
  <si>
    <t xml:space="preserve">    Kredilerden Net Nakit Girişi (Net borrowings)</t>
  </si>
  <si>
    <t xml:space="preserve">    (-) Ödenen Faizler (Interest paid)</t>
  </si>
  <si>
    <t xml:space="preserve">    (-) Ödenen Temettüler (Dividends paid)</t>
  </si>
  <si>
    <t xml:space="preserve">    Diğer Finansman, Net (Pay ihracı/FX dahil) (Other financing, net)</t>
  </si>
  <si>
    <t>NAKİTTE NET DEĞİŞİM (Net change in cash)</t>
  </si>
  <si>
    <t>Dönem Başı Nakit (Cash at beginning)</t>
  </si>
  <si>
    <t>Nakit Üzerindeki Enflasyon Etkisi (Monetary effect on cash)</t>
  </si>
  <si>
    <t>DÖNEM SONU NAKİT (Cash at end of period)</t>
  </si>
  <si>
    <t xml:space="preserve">    Sermaye Girişi (Capital inflow)</t>
  </si>
  <si>
    <t>ASTOR ENERJİ — FİNANSAL ORAN ANALİZİ / FINANCIAL RATIO ANALYSIS (2020–2025)</t>
  </si>
  <si>
    <t>Sektörel Referans / Sector Reference</t>
  </si>
  <si>
    <t>(Dönen Var. - Stoklar)/KV Y.</t>
  </si>
  <si>
    <t>(Nakit + Fin.Yatırım) / KV Y.</t>
  </si>
  <si>
    <t>EBIT / |Finansman Gid.|</t>
  </si>
  <si>
    <t>%20–%35</t>
  </si>
  <si>
    <t>%18–%30</t>
  </si>
  <si>
    <t>%15–%25</t>
  </si>
  <si>
    <t>%8–%18</t>
  </si>
  <si>
    <t>Net Kar / Toplam Aktifler</t>
  </si>
  <si>
    <t>%5–%12</t>
  </si>
  <si>
    <t>Net Kar / Özkaynak</t>
  </si>
  <si>
    <t>%15–%30</t>
  </si>
  <si>
    <t>0.60–1.20x</t>
  </si>
  <si>
    <t>Tic. Alacak Devir Hızı (Trade Rec. Turnover)</t>
  </si>
  <si>
    <t>Hasılat / Tic. Alacaklar</t>
  </si>
  <si>
    <t>4–10x</t>
  </si>
  <si>
    <t>365 / Tic.Alacak Devir Hızı</t>
  </si>
  <si>
    <t>60–100 gün</t>
  </si>
  <si>
    <t>Satışların Maliyeti / Stoklar</t>
  </si>
  <si>
    <t>4–8x</t>
  </si>
  <si>
    <t>45–90 gün</t>
  </si>
  <si>
    <t>6–12x</t>
  </si>
  <si>
    <t>(OCF + Yat.CF) / Hasılat</t>
  </si>
  <si>
    <t>&gt;%5</t>
  </si>
  <si>
    <t>Hisse Adedi (mn) (Shares Outstanding, mn)</t>
  </si>
  <si>
    <t>998 mn (sabit) / Constant 998 mn</t>
  </si>
  <si>
    <t>Net Kar / Hisse Adedi</t>
  </si>
  <si>
    <t>BIST son işlem günü kapanış (Year-end close)</t>
  </si>
  <si>
    <t>N/A pre-2023 IPO</t>
  </si>
  <si>
    <t>Halka arz öncesi</t>
  </si>
  <si>
    <t>15/05/2026 hisse fiyati: 332.5</t>
  </si>
  <si>
    <t>Fiyat × Hisse Adedi</t>
  </si>
  <si>
    <t>Piyasa Değeri (mn TL) / Net Kar (mn TL)</t>
  </si>
  <si>
    <t>8–18x (enerji ekipman)</t>
  </si>
  <si>
    <t>Piyasa Değeri (mn TL) / Özkaynak (mn TL)</t>
  </si>
  <si>
    <t>1.5–4.0x</t>
  </si>
  <si>
    <t>DPS / Fiyat</t>
  </si>
  <si>
    <t>AKSA ENERJİ ÜRETİM A.Ş. (AKSEN) — KONSOLİDE BİLANÇO (Bin TL)</t>
  </si>
  <si>
    <t xml:space="preserve">    Nakit ve Nakit Benzerleri</t>
  </si>
  <si>
    <t xml:space="preserve">    Finansal Yatırımlar</t>
  </si>
  <si>
    <t xml:space="preserve">    Ticari Alacaklar (net)</t>
  </si>
  <si>
    <t xml:space="preserve">    Diğer Alacaklar</t>
  </si>
  <si>
    <t xml:space="preserve">    Türev Araçlar (varlık)</t>
  </si>
  <si>
    <t xml:space="preserve">    Stoklar</t>
  </si>
  <si>
    <t xml:space="preserve">    Peşin Ödenmiş Giderler</t>
  </si>
  <si>
    <t xml:space="preserve">    Cari Dönem Vergi Varlığı</t>
  </si>
  <si>
    <t xml:space="preserve">    Diğer Dönen Varlıklar</t>
  </si>
  <si>
    <t xml:space="preserve">    Finansal Yatırımlar (UV)</t>
  </si>
  <si>
    <t xml:space="preserve">    Diğer Alacaklar (UV)</t>
  </si>
  <si>
    <t xml:space="preserve">    Maddi Duran Varlıklar</t>
  </si>
  <si>
    <t xml:space="preserve">    Kullanım Hakkı Varlıkları</t>
  </si>
  <si>
    <t xml:space="preserve">    Maddi Olmayan Duran Varlıklar</t>
  </si>
  <si>
    <t xml:space="preserve">    Peşin Ödenmiş Giderler (UV)</t>
  </si>
  <si>
    <t xml:space="preserve">    Ertelenmiş Vergi Varlığı</t>
  </si>
  <si>
    <t xml:space="preserve">    Kısa Vadeli Borçlanmalar</t>
  </si>
  <si>
    <t xml:space="preserve">    UV Borçlanmaların KV Kısımları</t>
  </si>
  <si>
    <t xml:space="preserve">    KV Kiralama İşl. Borçları</t>
  </si>
  <si>
    <t xml:space="preserve">    UV Kiralama İşl. KV Kısımları</t>
  </si>
  <si>
    <t xml:space="preserve">    Ticari Borçlar</t>
  </si>
  <si>
    <t xml:space="preserve">    Çalışanlara Sağlanan Faydalar</t>
  </si>
  <si>
    <t xml:space="preserve">    Diğer Borçlar</t>
  </si>
  <si>
    <t xml:space="preserve">    Türev Araçlar (yükümlülük)</t>
  </si>
  <si>
    <t xml:space="preserve">    Dönem Karı Vergi Yükümlülüğü</t>
  </si>
  <si>
    <t xml:space="preserve">    KV Karşılıklar</t>
  </si>
  <si>
    <t xml:space="preserve">    Diğer KV Yükümlülükler</t>
  </si>
  <si>
    <t>KISA VADELİ YÜKÜMLÜLÜKLER TOPLAM</t>
  </si>
  <si>
    <t xml:space="preserve">    Uzun Vadeli Borçlanmalar</t>
  </si>
  <si>
    <t xml:space="preserve">    UV Kiralama İşl. Borçları</t>
  </si>
  <si>
    <t xml:space="preserve">    Uzun Vadeli Karşılıklar</t>
  </si>
  <si>
    <t xml:space="preserve">    Ertelenmiş Vergi Yükümlülüğü</t>
  </si>
  <si>
    <t>UZUN VADELİ YÜKÜMLÜLÜKLER TOPLAM</t>
  </si>
  <si>
    <t xml:space="preserve">    Ödenmiş Sermaye</t>
  </si>
  <si>
    <t xml:space="preserve">    Sermaye Düzeltme Farkları</t>
  </si>
  <si>
    <t xml:space="preserve">    Geri Alınmış Paylar (-)</t>
  </si>
  <si>
    <t xml:space="preserve">    Yeniden Değerleme Artışları</t>
  </si>
  <si>
    <t xml:space="preserve">    Yabancı Para Çevrim Farkları</t>
  </si>
  <si>
    <t xml:space="preserve">    Riskten Korunma Kayıpları</t>
  </si>
  <si>
    <t xml:space="preserve">    Kısıtlanmış Yedekler</t>
  </si>
  <si>
    <t xml:space="preserve">    Geçmiş Yıllar Karları</t>
  </si>
  <si>
    <t xml:space="preserve">    Net Dönem Karı</t>
  </si>
  <si>
    <t>Ana Ortaklığa Ait Özkaynaklar</t>
  </si>
  <si>
    <t xml:space="preserve">    Kontrol Gücü Olmayan Paylar</t>
  </si>
  <si>
    <t>TOPLAM YÜKÜMLÜLÜKLER VE ÖZKAYNAKLAR</t>
  </si>
  <si>
    <t>AKSA ENERJİ ÜRETİM A.Ş. — KONSOLİDE GELİR TABLOSU (Bin TL)</t>
  </si>
  <si>
    <t>2025
(2025 SAG)</t>
  </si>
  <si>
    <t>2024
(2025 SAG)</t>
  </si>
  <si>
    <t>2024
(2024 SAG)</t>
  </si>
  <si>
    <t>2023
(2024 SAG)</t>
  </si>
  <si>
    <t>2023
(2023 SAG)</t>
  </si>
  <si>
    <t>2022
(2023 SAG)</t>
  </si>
  <si>
    <t>2022
(Nominal)</t>
  </si>
  <si>
    <t>2021
(Nominal)</t>
  </si>
  <si>
    <t>2020
(Nominal)</t>
  </si>
  <si>
    <t>KAR VEYA ZARAR KISMI</t>
  </si>
  <si>
    <t>Hasılat (Net)</t>
  </si>
  <si>
    <t xml:space="preserve">  Satışların Maliyeti (-)</t>
  </si>
  <si>
    <t>BRÜT KAR / (ZARAR)</t>
  </si>
  <si>
    <t xml:space="preserve">  Genel Yönetim Giderleri (-)</t>
  </si>
  <si>
    <t xml:space="preserve">  Satış Paz. Giderleri (-)</t>
  </si>
  <si>
    <t xml:space="preserve">  Esas Faal. Diğer Gelirler</t>
  </si>
  <si>
    <t xml:space="preserve">  Esas Faal. Diğer Giderler (-)</t>
  </si>
  <si>
    <t>ESAS FAALİYET KARI (EBIT)</t>
  </si>
  <si>
    <t xml:space="preserve">  (+) Amortisman &amp; İtfa Payları</t>
  </si>
  <si>
    <t xml:space="preserve">  TFRS 9 Değer Düşüklüğü İptali</t>
  </si>
  <si>
    <t xml:space="preserve">  Yatırım Faal. Gelirleri</t>
  </si>
  <si>
    <t xml:space="preserve">  Yatırım Faal. Giderleri (-)</t>
  </si>
  <si>
    <t>Finansman Gid. Öncesi Faaliyet Karı</t>
  </si>
  <si>
    <t xml:space="preserve">  Finansman Gelirleri</t>
  </si>
  <si>
    <t xml:space="preserve">  Finansman Giderleri (-)</t>
  </si>
  <si>
    <t>Finansman (Giderleri) / Gelirleri, net</t>
  </si>
  <si>
    <t xml:space="preserve">  Net Parasal Pozisyon Kayıpları</t>
  </si>
  <si>
    <t>VERGİ ÖNCESİ KAR / (ZARAR)</t>
  </si>
  <si>
    <t xml:space="preserve">      Dönem Vergi Gideri</t>
  </si>
  <si>
    <t xml:space="preserve">      Ertelenmiş Vergi (Gideri) / Geliri</t>
  </si>
  <si>
    <t xml:space="preserve">  Toplam Vergi Geliri / (Gideri)</t>
  </si>
  <si>
    <t>NET DÖNEM KARI / (ZARARI)</t>
  </si>
  <si>
    <t xml:space="preserve">  KGOP Payı</t>
  </si>
  <si>
    <t xml:space="preserve">  Ana Ortaklık Payı</t>
  </si>
  <si>
    <t>Hisse Başına Kazanç (TL)</t>
  </si>
  <si>
    <t>AKSA ENERJİ ÜRETİM A.Ş. — KONSOLİDE NAKİT AKIŞ TABLOSU (Bin TL)</t>
  </si>
  <si>
    <t xml:space="preserve">  Dönem Karı</t>
  </si>
  <si>
    <t xml:space="preserve">  (+) Amortisman &amp; İtfa Düzeltmeleri</t>
  </si>
  <si>
    <t xml:space="preserve">  (+) Faiz Gideri Düzeltmeleri</t>
  </si>
  <si>
    <t xml:space="preserve">  (-) Faiz Geliri Düzeltmeleri</t>
  </si>
  <si>
    <t xml:space="preserve">  Diğer Düzeltmeler</t>
  </si>
  <si>
    <t xml:space="preserve">  İşletme Sermayesindeki Değişimler</t>
  </si>
  <si>
    <t xml:space="preserve">  (-) Ödenen Vergiler</t>
  </si>
  <si>
    <t>İŞLETME FAALİYETLERİNDEN NET NAKİT</t>
  </si>
  <si>
    <t xml:space="preserve">  (-) MDV Alımları</t>
  </si>
  <si>
    <t xml:space="preserve">  (-) MODV Alımları</t>
  </si>
  <si>
    <t xml:space="preserve">  (+) MDV/MODV Satışları</t>
  </si>
  <si>
    <t xml:space="preserve">  Diğer Yatırım Faaliyetleri</t>
  </si>
  <si>
    <t>YATIRIM FAALİYETLERİNDEN NET NAKİT</t>
  </si>
  <si>
    <t xml:space="preserve">  Kredi Girişleri</t>
  </si>
  <si>
    <t xml:space="preserve">  (-) Kredi Ödemeleri</t>
  </si>
  <si>
    <t xml:space="preserve">  (-) Kira Borç Ödemeleri</t>
  </si>
  <si>
    <t xml:space="preserve">  (-) Ödenen Faiz</t>
  </si>
  <si>
    <t xml:space="preserve">  (+) Alınan Faiz</t>
  </si>
  <si>
    <t xml:space="preserve">  (-) Ödenen Temettüler</t>
  </si>
  <si>
    <t>FİNANSMAN FAALİYETLERİNDEN NET NAKİT</t>
  </si>
  <si>
    <t>NAKİT NET ARTIŞ / (AZALIŞ)</t>
  </si>
  <si>
    <t xml:space="preserve">  D. Nakit Üzerindeki Enflasyon Etkisi</t>
  </si>
  <si>
    <t xml:space="preserve">  E. Dönem Başı Nakit</t>
  </si>
  <si>
    <t>AKSA ENERJİ — FİNANSAL ORAN ANALİZİ (2020–2025)</t>
  </si>
  <si>
    <t>Formül / Hesaplama</t>
  </si>
  <si>
    <t>LİKİDİTE ORANLARI</t>
  </si>
  <si>
    <t>Cari Oran</t>
  </si>
  <si>
    <t>Dönen Varlıklar / KV Yükümlülükler</t>
  </si>
  <si>
    <t>0.70–1.10x (enerji)</t>
  </si>
  <si>
    <t>Asit-Test Oranı</t>
  </si>
  <si>
    <t>(Dönen Var. - Stoklar) / KV Yükümlülükler</t>
  </si>
  <si>
    <t>0.50–0.90x</t>
  </si>
  <si>
    <t>Nakit Oranı</t>
  </si>
  <si>
    <t>Nakit / KV Yükümlülükler</t>
  </si>
  <si>
    <t>&gt; 0.15x</t>
  </si>
  <si>
    <t>BORÇLULUK / FİNANSAL YAPI</t>
  </si>
  <si>
    <t>Kaldıraç Oranı</t>
  </si>
  <si>
    <t>Toplam Yükümlülükler / Toplam Varlıklar</t>
  </si>
  <si>
    <t>%55–%70 (enerji)</t>
  </si>
  <si>
    <t>Borç / Özkaynak</t>
  </si>
  <si>
    <t>Toplam Yükümlülükler / Özkaynaklar</t>
  </si>
  <si>
    <t>1.50–3.00x</t>
  </si>
  <si>
    <t>Fin.Borç / Özkaynak</t>
  </si>
  <si>
    <t>(KV Fin.Borç + UV Fin.Borç) / Özkaynaklar</t>
  </si>
  <si>
    <t>0.80–2.00x</t>
  </si>
  <si>
    <t>(Fin.Borçlar Toplamı − Nakit) / FAVÖK</t>
  </si>
  <si>
    <t>&lt; 3.00x (enerji)</t>
  </si>
  <si>
    <t>Faiz Karşılama</t>
  </si>
  <si>
    <t>&gt; 2.00x</t>
  </si>
  <si>
    <t>KARLILIK</t>
  </si>
  <si>
    <t>Brüt Kar Marjı</t>
  </si>
  <si>
    <t>%18–%28</t>
  </si>
  <si>
    <t>FAVÖK Marjı</t>
  </si>
  <si>
    <t>EBIT Marjı</t>
  </si>
  <si>
    <t>Faaliyet Karı (EBIT) / Hasılat</t>
  </si>
  <si>
    <t>%10–%20</t>
  </si>
  <si>
    <t>Net Kar Marjı</t>
  </si>
  <si>
    <t>Net Dönem Karı / Hasılat</t>
  </si>
  <si>
    <t>%1–%5</t>
  </si>
  <si>
    <t>ROA</t>
  </si>
  <si>
    <t>Net Dönem Karı / Toplam Varlıklar</t>
  </si>
  <si>
    <t>ROE</t>
  </si>
  <si>
    <t>Net Dönem Karı / Özkaynaklar</t>
  </si>
  <si>
    <t>FAALİYET VERİMLİLİĞİ</t>
  </si>
  <si>
    <t>Aktif Devir Hızı</t>
  </si>
  <si>
    <t>Hasılat / Toplam Varlıklar</t>
  </si>
  <si>
    <t>0.80–1.30x</t>
  </si>
  <si>
    <t>Tic.Alacak Devir Hızı</t>
  </si>
  <si>
    <t>Hasılat / Ticari Alacaklar (KV)</t>
  </si>
  <si>
    <t>6–15x</t>
  </si>
  <si>
    <t>Ort.Tahsilat Süresi (gün)</t>
  </si>
  <si>
    <t>365 / Ticari Alacak Devir Hızı</t>
  </si>
  <si>
    <t>30–50 gün</t>
  </si>
  <si>
    <t>NAKİT AKIŞ ORANLARI</t>
  </si>
  <si>
    <t>İşletme Nakit / Net Kâr</t>
  </si>
  <si>
    <t>İşletme Faal. Net Nakit / Net Dönem Karı</t>
  </si>
  <si>
    <t>FAVÖK / |Finansman Giderleri|</t>
  </si>
  <si>
    <t>&gt; 1.50x</t>
  </si>
  <si>
    <t>(İşletme+Yatırım) / Hasılat</t>
  </si>
  <si>
    <t>HİSSE ANALİZİ</t>
  </si>
  <si>
    <t>Hisse Adedi (mn)</t>
  </si>
  <si>
    <t>Ağırlıklı ort. / dönem sonu (Yahoo Finance)</t>
  </si>
  <si>
    <t>Hisse Başına Kâr (TL)</t>
  </si>
  <si>
    <t>Net Dönem Karı / Hisse Adedi (mn)</t>
  </si>
  <si>
    <t>Hisse Başına Defter Değeri (TL)</t>
  </si>
  <si>
    <t>Özkaynaklar / Hisse Adedi (mn)</t>
  </si>
  <si>
    <t>Hisse Başına İşletme Nakdi (TL)</t>
  </si>
  <si>
    <t>İşletme Net Nakit / Hisse Adedi (mn)</t>
  </si>
  <si>
    <t>Hisse Başına Temettü (TL)</t>
  </si>
  <si>
    <t>|Ödenen Temettü| / Hisse Adedi (mn)</t>
  </si>
  <si>
    <t>DEĞERLEME ÇARPANLARI</t>
  </si>
  <si>
    <t>Nominal yıl sonu kapanış fiyatları kullanılmıştır</t>
  </si>
  <si>
    <t>Dönem Sonu Hisse Fiyatı (TL)</t>
  </si>
  <si>
    <t>Dönem sonu kapanış fiyatı (Yahoo Finance)</t>
  </si>
  <si>
    <t>19/04/2026 hisse fiyatı:80.10 TL</t>
  </si>
  <si>
    <t>Piyasa Değeri (Bin TL)</t>
  </si>
  <si>
    <t>Fiyat × Hisse Adedi (mn) × 1.000</t>
  </si>
  <si>
    <t>F/K (Fiyat / Kazanç)</t>
  </si>
  <si>
    <t>Piyasa Değeri / Net Kâr (Bin TL)</t>
  </si>
  <si>
    <t>10–25x (enerji)</t>
  </si>
  <si>
    <t>PD/DD (Piyasa Değeri / Defter Değeri)</t>
  </si>
  <si>
    <t>Piyasa Değeri / Özkaynaklar (Bin TL)</t>
  </si>
  <si>
    <t>1.00–3.00x</t>
  </si>
  <si>
    <t>FD/FAVÖK (Firma Değeri / FAVÖK)</t>
  </si>
  <si>
    <t>4–8x (enerji)</t>
  </si>
  <si>
    <t>Temettü Verimi (%)</t>
  </si>
  <si>
    <t>Hisse Başına Temettü / Hisse Fiyatı</t>
  </si>
  <si>
    <t>&gt; %3</t>
  </si>
  <si>
    <t>F/İşletme Nakdi</t>
  </si>
  <si>
    <t>PD / İşletme Faaliyetlerinden Net Nakit</t>
  </si>
  <si>
    <t>&lt; 5x (enerji)</t>
  </si>
  <si>
    <t>ENERJİSA ENERJİ A.Ş. (ENJSA) — KONSOLİDE FİNANSAL DURUM TABLOSU (Bin TL)</t>
  </si>
  <si>
    <t>31.12.2025
(2025 TL SAG)</t>
  </si>
  <si>
    <t>31.12.2024
(2025 TL SAG)</t>
  </si>
  <si>
    <t>31.12.2024
(2024 TL SAG)</t>
  </si>
  <si>
    <t>31.12.2023
(2024 TL SAG)</t>
  </si>
  <si>
    <t>31.12.2023
(2023 TL SAG)</t>
  </si>
  <si>
    <t>31.12.2022
(2023 TL SAG)</t>
  </si>
  <si>
    <t>31.12.2022
(Nominal TL)</t>
  </si>
  <si>
    <t>31.12.2021
(Nominal TL)</t>
  </si>
  <si>
    <t>31.12.2020
(Nominal TL)</t>
  </si>
  <si>
    <t>31.12.2019
(Nominal TL)</t>
  </si>
  <si>
    <t xml:space="preserve">    İmtiyaz Sözl. Finansal Varlıklar (Kısa Vadeli)</t>
  </si>
  <si>
    <t xml:space="preserve">    Peşin Ödenmiş Giderler + Cari Dönem Vergi Varlığı</t>
  </si>
  <si>
    <t xml:space="preserve">    Ticari Alacaklar (Uzun Vadeli)</t>
  </si>
  <si>
    <t xml:space="preserve">    Diğer Alacaklar (Uzun Vadeli)</t>
  </si>
  <si>
    <t xml:space="preserve">    İmtiyaz Sözl. Finansal Varlıklar (Uzun Vadeli)</t>
  </si>
  <si>
    <t xml:space="preserve">    Maddi Olmayan Duran Varlıklar (şerefiye dahil)</t>
  </si>
  <si>
    <t xml:space="preserve">    Peşin Ödenmiş Giderler (Uzun Vadeli)</t>
  </si>
  <si>
    <t xml:space="preserve">    Diğer Duran Varlıklar</t>
  </si>
  <si>
    <t xml:space="preserve">    Uzun Vadeli Borçlanmaların KV Kısımları</t>
  </si>
  <si>
    <t xml:space="preserve">    Diğer Finansal Yükümlülükler (KV)</t>
  </si>
  <si>
    <t xml:space="preserve">    Çalışanlara Sağlanan Faydalar Kapsamındaki Borçlar</t>
  </si>
  <si>
    <t xml:space="preserve">    Diğer Borçlar (abonelik teminatları dahil)</t>
  </si>
  <si>
    <t xml:space="preserve">    Ertelenmiş Gelirler + Dönem Vergi Yükümlülüğü</t>
  </si>
  <si>
    <t xml:space="preserve">    Kısa Vadeli Karşılıklar</t>
  </si>
  <si>
    <t xml:space="preserve">    Diğer Kısa Vadeli Yükümlülükler</t>
  </si>
  <si>
    <t xml:space="preserve">    Uzun Vadeli Borçlanmalar (kredi + tahvil)</t>
  </si>
  <si>
    <t xml:space="preserve">    Diğer Finansal Yükümlülükler (UV)</t>
  </si>
  <si>
    <t xml:space="preserve">    Ertelenmiş Gelirler (UV)</t>
  </si>
  <si>
    <t xml:space="preserve">    Uzun Vadeli Karşılıklar (kıdem tazminatı)</t>
  </si>
  <si>
    <t xml:space="preserve">    Diğer UV Yükümlülükler</t>
  </si>
  <si>
    <t xml:space="preserve">    Paylara İlişkin Primler</t>
  </si>
  <si>
    <t xml:space="preserve">    Diğer Fonlar / Riskten Korunma Rezervleri</t>
  </si>
  <si>
    <t xml:space="preserve">    Kardan Ayrılan Kısıtlanmış Yedekler</t>
  </si>
  <si>
    <t xml:space="preserve">    Net Dönem Karı / (Zararı)</t>
  </si>
  <si>
    <t>2020/2019</t>
  </si>
  <si>
    <t>2019/2018</t>
  </si>
  <si>
    <t>ENERJİSA ENERJİ A.Ş. — KONSOLİDE GELİR TABLOSU (Bin TL)</t>
  </si>
  <si>
    <t>01.01–31.12.2025
(2025 TL SAG)</t>
  </si>
  <si>
    <t>01.01–31.12.2024
(2025 TL SAG)</t>
  </si>
  <si>
    <t>01.01–31.12.2024
(2024 TL SAG)</t>
  </si>
  <si>
    <t>01.01–31.12.2023
(2024 TL SAG)</t>
  </si>
  <si>
    <t>01.01–31.12.2023
(2023 TL SAG)</t>
  </si>
  <si>
    <t>01.01–31.12.2022
(2023 TL SAG)</t>
  </si>
  <si>
    <t>01.01–31.12.2022
(Nominal TL)</t>
  </si>
  <si>
    <t>01.01–31.12.2021
(Nominal TL)</t>
  </si>
  <si>
    <t>01.01–31.12.2020
(Nominal TL)</t>
  </si>
  <si>
    <t>01.01–31.12.2019
(Nominal TL)</t>
  </si>
  <si>
    <t xml:space="preserve">  Esas Faaliyetlerden Diğer Gelirler</t>
  </si>
  <si>
    <t xml:space="preserve">  Esas Faaliyetlerden Diğer Giderler (-)</t>
  </si>
  <si>
    <t xml:space="preserve">  Parasal Kazanç / (Kayıp) — IAS29 Etkisi</t>
  </si>
  <si>
    <t xml:space="preserve">      Dönem Vergi Gideri / Geliri</t>
  </si>
  <si>
    <t xml:space="preserve">      Ertelenmiş Vergi Gideri / Geliri</t>
  </si>
  <si>
    <t>ENERJİSA ENERJİ A.Ş. — KONSOLİDE NAKİT AKIŞ TABLOSU (Bin TL)</t>
  </si>
  <si>
    <t>01.01–31.12.2022
(2022 TL SAG)</t>
  </si>
  <si>
    <t>İŞLETME FAALİYETLERİNDEN NAKİT AKIŞLARI</t>
  </si>
  <si>
    <t xml:space="preserve">  Dönem Karı / (Zararı)</t>
  </si>
  <si>
    <t xml:space="preserve">  (+) Amortisman &amp; İtfa Giderleri</t>
  </si>
  <si>
    <t xml:space="preserve">  (+) Değer Düşüklüğü ve Diğer Düzeltmeler</t>
  </si>
  <si>
    <t xml:space="preserve">  (+) Karşılık Giderleri</t>
  </si>
  <si>
    <t xml:space="preserve">  (+) Faiz Giderleri (düzeltme)</t>
  </si>
  <si>
    <t xml:space="preserve">  (-) Faiz Gelirleri (düzeltme)</t>
  </si>
  <si>
    <t xml:space="preserve">  (+) İmtiyaz Sözl. Nakit Tahsilatları (Geri öd.+AOSM)</t>
  </si>
  <si>
    <t xml:space="preserve">  Diğer İşletme Faaliyetleri Mutabakat Kalemleri</t>
  </si>
  <si>
    <t>YATIRIM FAALİYETLERİNDEN NAKİT AKIŞLARI</t>
  </si>
  <si>
    <t xml:space="preserve">  (-) MDV + Maddi Olmayan Duran Varlık Alımları</t>
  </si>
  <si>
    <t xml:space="preserve">  (-) İmtiyaz Sözl. Yatırım Harcamaları (CAPEX)</t>
  </si>
  <si>
    <t>FİNANSMAN FAALİYETLERİNDEN NAKİT AKIŞLARI</t>
  </si>
  <si>
    <t xml:space="preserve">      Banka Kredisi Girişleri</t>
  </si>
  <si>
    <t xml:space="preserve">      Tahvil / Bono İhraç Girişleri</t>
  </si>
  <si>
    <t xml:space="preserve">  Borçlanmalardan Nakit Girişleri (brüt)</t>
  </si>
  <si>
    <t xml:space="preserve">  (-) Borç Ödemeleri</t>
  </si>
  <si>
    <t xml:space="preserve">  (-) Kira Borç Ödemeleri (UFRS 16)</t>
  </si>
  <si>
    <t xml:space="preserve">  (-) Ödenen Faizler</t>
  </si>
  <si>
    <t xml:space="preserve">  Diğer Finansman Faaliyetleri</t>
  </si>
  <si>
    <t>NAKİT VE BENZERLERİNDEKİ NET ARTIŞ/(AZALIŞ)</t>
  </si>
  <si>
    <t xml:space="preserve">  Nakit Üzerindeki TMS29 Enflasyon Etkisi</t>
  </si>
  <si>
    <t>Dönem Başı Nakit ve Nakit Benzerleri</t>
  </si>
  <si>
    <t>DÖNEM SONU NAKİT VE NAKİT BENZERLERİ</t>
  </si>
  <si>
    <t>ENERJİSA ENERJİ A.Ş. — FİNANSAL ORAN ANALİZİ</t>
  </si>
  <si>
    <t>(Nakit + İmtiyaz Fin.Var.KV) / KV Yükümlülükler</t>
  </si>
  <si>
    <t>%55–%70 (enerji altyapı)</t>
  </si>
  <si>
    <t>Finansal Borç / Özkaynak</t>
  </si>
  <si>
    <t>Net Finansal Borç / FAVÖK</t>
  </si>
  <si>
    <t>(Fin.Borç Toplamı − Nakit) / FAVÖK</t>
  </si>
  <si>
    <t>Özkaynak Çarpanı</t>
  </si>
  <si>
    <t>Toplam Varlıklar / Özkaynaklar</t>
  </si>
  <si>
    <t>2.00–4.00x</t>
  </si>
  <si>
    <t>Faiz Karşılama Oranı</t>
  </si>
  <si>
    <t>Ticari Alacak Devir Hızı</t>
  </si>
  <si>
    <t>Ortalama Tahsilat Süresi (gün)</t>
  </si>
  <si>
    <t>Ticari Borç Devir Hızı</t>
  </si>
  <si>
    <t>5–15x</t>
  </si>
  <si>
    <t>Stok Devir Hızı</t>
  </si>
  <si>
    <t>20–60x (ekipman stoku)</t>
  </si>
  <si>
    <t>Aktif Karlılığı (ROA)</t>
  </si>
  <si>
    <t>Özkaynak Karlılığı (ROE)</t>
  </si>
  <si>
    <t>İşletme Nakit / Net Kar</t>
  </si>
  <si>
    <t>İşletme Faaliyetlerinden Net Nakit / Net Dönem Karı</t>
  </si>
  <si>
    <t>Capex Yoğunluğu</t>
  </si>
  <si>
    <t>|İmtiyaz CAPEX + MDV Alım| / Hasılat</t>
  </si>
  <si>
    <t>%8–%20 (altyapı yoğun)</t>
  </si>
  <si>
    <t>Temettü Ödeme Oranı</t>
  </si>
  <si>
    <t>|Ödenen Temettü| / |Net Kar (pozitif)|</t>
  </si>
  <si>
    <t>&gt; %80 (şirket politikası)</t>
  </si>
  <si>
    <t>Net Dönem Karı / Hisse Adedi</t>
  </si>
  <si>
    <t>Özkaynaklar / Hisse Adedi</t>
  </si>
  <si>
    <t>İşletme Net Nakit / Hisse Adedi</t>
  </si>
  <si>
    <t>DEĞERLEME ÇARPANLARI (Dönem Sonu Fiyat Bazlı)</t>
  </si>
  <si>
    <t>Nominal yıl sonu kapanış fiyatları ile hesaplandı</t>
  </si>
  <si>
    <t>19/04/2026 hisse fiyatı:127.00 TL</t>
  </si>
  <si>
    <t>Fiyat × Hisse Adedi (Bin)</t>
  </si>
  <si>
    <t>Piyasa Değeri / Net Kâr</t>
  </si>
  <si>
    <t>Piyasa Değeri / Özkaynaklar</t>
  </si>
  <si>
    <t>(PD + Net Fin. Borç) / FAVÖK</t>
  </si>
  <si>
    <t>Hisse Başına Temettü / Fiyat</t>
  </si>
  <si>
    <t>Serbest Nakit Akış Getirisi (%)</t>
  </si>
  <si>
    <t>(İşletme Nakit + Yatırım Nakit) / PD</t>
  </si>
  <si>
    <t>PD / İşletme Net Nakit Akışı</t>
  </si>
  <si>
    <t>ENERJİSA ENERJİ A.Ş. — DİKEY ANALİZ</t>
  </si>
  <si>
    <t>A) BİLANÇO — Her Kalem / Toplam Varlıklar (%)</t>
  </si>
  <si>
    <t xml:space="preserve">    İmtiyaz Sözl. Fin. Varlıklar (KV)</t>
  </si>
  <si>
    <t xml:space="preserve">    Ticari Alacaklar</t>
  </si>
  <si>
    <t xml:space="preserve">    İmtiyaz Sözl. Fin. Varlıklar (UV)</t>
  </si>
  <si>
    <t xml:space="preserve">    Toplam KV Finansal Borçlar</t>
  </si>
  <si>
    <t xml:space="preserve">    UV Finansal Borçlar</t>
  </si>
  <si>
    <t xml:space="preserve">    Ödenmiş Sermaye + Düzeltme + Primler</t>
  </si>
  <si>
    <t>B) GELİR TABLOSU — Her Kalem / Hasılat (%)</t>
  </si>
  <si>
    <t xml:space="preserve">  Satışların Maliyeti</t>
  </si>
  <si>
    <t xml:space="preserve">  Genel Yönetim Giderleri</t>
  </si>
  <si>
    <t xml:space="preserve">  Finansman Giderleri</t>
  </si>
  <si>
    <t xml:space="preserve">  Parasal Kazanç/(Kayıp) — IAS29</t>
  </si>
  <si>
    <t>VERGİ ÖNCESİ KAR/(ZARAR)</t>
  </si>
  <si>
    <t>NET DÖNEM KARI/(ZARARI)</t>
  </si>
  <si>
    <t>ENERJİSA ENERJİ A.Ş. — YATAY ANALİZ</t>
  </si>
  <si>
    <t>25/24
(25SAG)</t>
  </si>
  <si>
    <t>24/23
(24SAG bazı)</t>
  </si>
  <si>
    <t>23/22
(23SAG bazı)</t>
  </si>
  <si>
    <t>22/21
(Nominal)</t>
  </si>
  <si>
    <t>21/20
(Nominal)</t>
  </si>
  <si>
    <t>20/19
(Nominal)</t>
  </si>
  <si>
    <t>19/18
(Nominal)</t>
  </si>
  <si>
    <t>A) BİLANÇO — Yıllık Yüzde Değişim</t>
  </si>
  <si>
    <t>AKTİF KALEMLER</t>
  </si>
  <si>
    <t>İmtiyaz Sözl. Fin. Varlıklar (KV+UV)</t>
  </si>
  <si>
    <t>Ticari Alacaklar (KV)</t>
  </si>
  <si>
    <t>Ertelenmiş Vergi Varlığı</t>
  </si>
  <si>
    <t>PASİF KALEMLER</t>
  </si>
  <si>
    <t>Toplam KV Fin. Borçlar</t>
  </si>
  <si>
    <t>Geçmiş Yıllar Karları</t>
  </si>
  <si>
    <t>Net Dönem Karı/(Zararı)</t>
  </si>
  <si>
    <t>B) GELİR TABLOSU — Yıllık Yüzde Değişim</t>
  </si>
  <si>
    <t>GELİR TABLOSU KALEMLERİ</t>
  </si>
  <si>
    <t>Finansman Giderleri</t>
  </si>
  <si>
    <t>C) NAKİT AKIŞ TABLOSU — Yıllık Yüzde Değişim</t>
  </si>
  <si>
    <t>NAKİT AKIŞ KALEMLERİ</t>
  </si>
  <si>
    <t>D) FİNANSAL ORANLAR — Yıllık Değişim</t>
  </si>
  <si>
    <t>ORAN DEĞİŞİMLERİ (Mutlak Fark, % değil)</t>
  </si>
  <si>
    <t>ORAN ADI</t>
  </si>
  <si>
    <t>24/23
(24SAG)</t>
  </si>
  <si>
    <t>23/22
(23SAG)</t>
  </si>
  <si>
    <t>Net Fin. Borç / FAVÖK</t>
  </si>
  <si>
    <t>SEKTÖR KARŞILAŞTIRMASI — TÜM ORANLAR / SECTOR COMPARISON (ASTOR · AKSEN · ENERJİSA · GWIND · AYDEM · ZOREN · AYEN)</t>
  </si>
  <si>
    <t>Oran / Ratio</t>
  </si>
  <si>
    <t>SEKTÖR ORT (7)</t>
  </si>
  <si>
    <t>ASTOR ORT</t>
  </si>
  <si>
    <t>AKSEN ORT</t>
  </si>
  <si>
    <t>ENERJİSA ORT</t>
  </si>
  <si>
    <t>GWIND ORT</t>
  </si>
  <si>
    <t>AYDEM ORT</t>
  </si>
  <si>
    <t>ZOREN ORT</t>
  </si>
  <si>
    <t>AYEN ORT</t>
  </si>
  <si>
    <t>1. LİKİDİTE ORANLARI / LIQUIDITY RATIOS</t>
  </si>
  <si>
    <t>Asit-Test Oranı (Quick / Acid-Test)</t>
  </si>
  <si>
    <t>2. FAALİYET ORANLARI / ACTIVITY (TURNOVER) RATIOS</t>
  </si>
  <si>
    <t>Aktif Devir Hızı (Total Asset Turnover)</t>
  </si>
  <si>
    <t>Ticari Alacak Devir Hızı (T/R Turnover)</t>
  </si>
  <si>
    <t>Ort. Stok Süresi (Days Inventory)</t>
  </si>
  <si>
    <t>Ticari Borç Devir Hızı (T/P Turnover)</t>
  </si>
  <si>
    <t>3. BORÇLULUK ORANLARI / LEVERAGE &amp; SOLVENCY</t>
  </si>
  <si>
    <t>Kaldıraç (Toplam Yük. / Toplam Akt.)</t>
  </si>
  <si>
    <t>Fin. Borç / Özkaynak</t>
  </si>
  <si>
    <t>Faiz Karşılama Oranı (Interest Coverage)</t>
  </si>
  <si>
    <t>FAVÖK / Faiz Gideri (EBITDA / Int. Exp.)</t>
  </si>
  <si>
    <t>4. KARLILIK ORANLARI / PROFITABILITY</t>
  </si>
  <si>
    <t>Faaliyet Karı Marjı (EBIT Margin)</t>
  </si>
  <si>
    <t>Net Kar Marjı (Net Profit Margin)</t>
  </si>
  <si>
    <t>5. BÜYÜME ORANLARI / GROWTH RATES (Aynı SAG Dönem YoY Ort.)</t>
  </si>
  <si>
    <t>Hasılat Büyümesi (Revenue Growth, avg YoY)</t>
  </si>
  <si>
    <t>Brüt Kar Büyümesi (Gross Profit Growth)</t>
  </si>
  <si>
    <t>EBIT Büyümesi (EBIT Growth)</t>
  </si>
  <si>
    <t>FAVÖK Büyümesi (EBITDA Growth)</t>
  </si>
  <si>
    <t>Net Kar Büyümesi (Net Income Growth)</t>
  </si>
  <si>
    <t>6. PİYASA ÇARPANLARI / PRICE &amp; VALUATION MULTIPLES (2025 yıl sonu)</t>
  </si>
  <si>
    <t>Dönem Sonu Hisse Fiyatı 2025 (TL)</t>
  </si>
  <si>
    <t>Hisse Başına Kazanç (EPS, TL, 6yr avg)</t>
  </si>
  <si>
    <t>Hisse Başına Defter Değeri (BVPS, TL)</t>
  </si>
  <si>
    <t>Piyasa Değeri 2025 (Bin TL)</t>
  </si>
  <si>
    <t>F/K (P/E)</t>
  </si>
  <si>
    <t>PD/DD (P/B)</t>
  </si>
  <si>
    <t>AYDEM YENİLENEBİLİR ENERJİ A.Ş. — KONSOLİDE BİLANÇO / CONSOLIDATED BALANCE SHEET (BİN TL)</t>
  </si>
  <si>
    <t xml:space="preserve">    Diğer Dönen Varlıklar (Stok, peşin gid., diğer alacaklar)</t>
  </si>
  <si>
    <t xml:space="preserve">    Maddi Olmayan Duran Varlıklar (Intangibles)</t>
  </si>
  <si>
    <t xml:space="preserve">    Diğer Duran Varlıklar (Kull. hakkı, peşin gid., diğer)</t>
  </si>
  <si>
    <t xml:space="preserve">    Kısa Vadeli Finansal Borçlar (ST borrowings + lease)</t>
  </si>
  <si>
    <t xml:space="preserve">    Diğer KV Yükümlülükler (diğer borç, karşılık, vb.)</t>
  </si>
  <si>
    <t xml:space="preserve">    Uzun Vadeli Finansal Borçlar (LT borrowings + lease)</t>
  </si>
  <si>
    <t xml:space="preserve">    Diğer UV Yükümlülükler (Ert. vergi, UV karşılıklar)</t>
  </si>
  <si>
    <t xml:space="preserve">    Sermaye Düzeltme Farkları / SAG (Capital adj. diff.)</t>
  </si>
  <si>
    <t xml:space="preserve">    Diğer Özkaynak (Primler, OCI, Yedekler, Geri alınan paylar)</t>
  </si>
  <si>
    <t>AYDEM YENİLENEBİLİR ENERJİ A.Ş. — GELİR TABLOSU / INCOME STATEMENT (BİN TL)</t>
  </si>
  <si>
    <t xml:space="preserve">        Esas Faal. Diğer Gelirler + Yat. Faal. Gelirleri (Other op. income)</t>
  </si>
  <si>
    <t xml:space="preserve">        Esas Faal. Diğer Giderler + Yat. Faal. Giderleri (-) (Other op. exp.)</t>
  </si>
  <si>
    <t xml:space="preserve">        Finansman Gelir/Giderleri (-) (Finance income/exp., net)</t>
  </si>
  <si>
    <t>Diğer Gelirler (Esas+Yatırım)</t>
  </si>
  <si>
    <t>Diğer Giderler (Esas+Yatırım)</t>
  </si>
  <si>
    <t>Finansman Gelir/Gid. (Net)</t>
  </si>
  <si>
    <t>AYDEM YENİLENEBİLİR ENERJİ A.Ş. — NAKİT AKIŞ TABLOSU / CASH FLOW (BİN TL)</t>
  </si>
  <si>
    <t xml:space="preserve">        Diğer Finansman (Faiz, Pay, Diğer) / Other financing</t>
  </si>
  <si>
    <t>Parasal Kayıp/Kazanç Etkisi / Monetary effect on cash (TMS29)</t>
  </si>
  <si>
    <t>İŞLETME FAAL. NAKİT AKIŞI (OCF)</t>
  </si>
  <si>
    <t>YATIRIM FAAL. NAKİT AKIŞI (ICF)</t>
  </si>
  <si>
    <t>FİNANSMAN FAAL. NAKİT AKIŞI (FCF)</t>
  </si>
  <si>
    <t>• 9 sütun yapısı: Her SAG dönemi kendi satın alma gücü cinsinden gösterilmektedir (GWIND/ASTOR/AKSEN/ENJSA ile aynı format).</t>
  </si>
  <si>
    <t>• TMS29 'Parasal pozisyon / nakit üzerindeki etki' 2023'ten itibaren; 2022 ve öncesi Nominal TL (TMS29 öncesi dönem).</t>
  </si>
  <si>
    <t>• BS ve Gelir Tablosu 2021–2025 sütunları denetçi PDF'leriyle tam mutabakatlıdır (EY/Güney Bağımsız Denetim).</t>
  </si>
  <si>
    <t>• 2020 (J sütunu): Denetim raporundaki bilanço/nakit akışı kalem detayları PDF metnine aktarılamadığından yalnızca</t>
  </si>
  <si>
    <t xml:space="preserve">  Özkaynak (5.892.851.994 TL) ve Gelir Tablosu kalemleri doldurulmuştur; diğer kalemler veri olmadığı için 0 bırakılmıştır.</t>
  </si>
  <si>
    <t>AYDEM YENİLENEBİLİR ENERJİ A.Ş. — FİNANSAL ORAN ANALİZİ / FINANCIAL RATIO ANALYSIS (2020–2025)</t>
  </si>
  <si>
    <t>(Nakit+Fin.Yat.+Tic.Alacak) / KV Y.</t>
  </si>
  <si>
    <t>EBIT / |Finansman Gid.(net)|</t>
  </si>
  <si>
    <t>Ort. Ödeme Süresi (DPO, gün)</t>
  </si>
  <si>
    <t>365 / Borç Devir Hızı</t>
  </si>
  <si>
    <t>10–60 gün</t>
  </si>
  <si>
    <t>FAVÖK / |Finansman Gid.(net)|</t>
  </si>
  <si>
    <t>BIST yıl sonu kapanışı (güncellenebilir)</t>
  </si>
  <si>
    <t>ZORLU ENERJİ ELEKTRİK ÜRETİM A.Ş. — KONSOLİDE BİLANÇO / CONSOLIDATED BALANCE SHEET (BİN TL)</t>
  </si>
  <si>
    <t xml:space="preserve">    Ticari Alacaklar (Trade receivables)</t>
  </si>
  <si>
    <t xml:space="preserve">    Diğer Dönen Varlıklar (Stok, imtiyaz fin.varlık, diğer)</t>
  </si>
  <si>
    <t xml:space="preserve">    Diğer Duran Varlıklar (İmtiyaz fin.varlık, özkaynak yat., vb.)</t>
  </si>
  <si>
    <t xml:space="preserve">    Kısa Vadeli Finansal Borçlar (ST borrowings + UV-KV kısmı)</t>
  </si>
  <si>
    <t xml:space="preserve">    Diğer KV Yükümlülükler (Diğer borç, türev, karşılık, vb.)</t>
  </si>
  <si>
    <t xml:space="preserve">    Uzun Vadeli Finansal Borçlar (LT borrowings)</t>
  </si>
  <si>
    <t xml:space="preserve">    Diğer UV Yükümlülükler (Ert. vergi, türev, karşılık, vb.)</t>
  </si>
  <si>
    <t xml:space="preserve">    Diğer Özkaynak (Primler, OCI, Yedekler, KGOP)</t>
  </si>
  <si>
    <t>ZORLU ENERJİ ELEKTRİK ÜRETİM A.Ş. — GELİR TABLOSU / INCOME STATEMENT (BİN TL)</t>
  </si>
  <si>
    <t xml:space="preserve">        Esas+Yatırım Faal. Diğer Gelirler (Other op. income)</t>
  </si>
  <si>
    <t xml:space="preserve">        Esas+Yatırım Faal. Diğer Giderler (-) (Other op. exp.)</t>
  </si>
  <si>
    <t xml:space="preserve">        Özkaynak Yöntemiyle Değ. Yat. Payları (Equity method)</t>
  </si>
  <si>
    <t xml:space="preserve">        Net Parasal Pozisyon Kazancı (TMS29 Monetary gain)</t>
  </si>
  <si>
    <t xml:space="preserve">        Finansman Gelir/Giderleri (-) (Finance inc./exp., net)</t>
  </si>
  <si>
    <t xml:space="preserve">        Dönem Vergi Gideri (-) (Current tax)</t>
  </si>
  <si>
    <t xml:space="preserve">        Ertelenmiş Vergi (Deferred tax)</t>
  </si>
  <si>
    <t xml:space="preserve">        Durdurulan Faaliyetler Dönem Karı (Discontinued ops.)</t>
  </si>
  <si>
    <t>Hasılat</t>
  </si>
  <si>
    <t>Diğer Gelirler</t>
  </si>
  <si>
    <t>Diğer Giderler</t>
  </si>
  <si>
    <t>Özkaynak Yöntemi Payları</t>
  </si>
  <si>
    <t>Net Parasal Poz. Kazancı</t>
  </si>
  <si>
    <t>Durdurulan Faaliyetler</t>
  </si>
  <si>
    <t>ZORLU ENERJİ ELEKTRİK ÜRETİM A.Ş. — NAKİT AKIŞ TABLOSU / CASH FLOW (BİN TL)</t>
  </si>
  <si>
    <t xml:space="preserve">        Karşılıklar / Provisions</t>
  </si>
  <si>
    <t xml:space="preserve">        Faiz, Vergi, GUD Düzeltmeleri / Interest, tax, FV adj.</t>
  </si>
  <si>
    <t xml:space="preserve">        Gerçekleşmemiş Kur Farkları / Unrealized FX adj.</t>
  </si>
  <si>
    <t xml:space="preserve">        Parasal Pozisyon Düzeltmesi (TMS29) / Monetary adj.</t>
  </si>
  <si>
    <t xml:space="preserve">        Bağlı Ort. Elden Çıkarma Kazancı / Disposal gain adj.</t>
  </si>
  <si>
    <t xml:space="preserve">        Diğer Düzeltmeler / Other reconciliation adj.</t>
  </si>
  <si>
    <t xml:space="preserve">        Ödenen Vergi/Faydalar / Taxes &amp; benefits paid</t>
  </si>
  <si>
    <t xml:space="preserve">        Diğer Yatırım Faaliyetleri / Other investing</t>
  </si>
  <si>
    <t xml:space="preserve">        Borçlanma/Ödeme/Kira Net Nakit / Net borrowings &amp; lease</t>
  </si>
  <si>
    <t xml:space="preserve">        Diğer Finansman (Faiz, Pay, Türev) / Other financing</t>
  </si>
  <si>
    <t>Yabancı Para Çevrim Etkisi / FX effect on cash</t>
  </si>
  <si>
    <t>Enflasyon Etkisi (TMS29) / Inflation effect on cash</t>
  </si>
  <si>
    <t>CAPEX</t>
  </si>
  <si>
    <t>Borçlanma (net)</t>
  </si>
  <si>
    <t>• 9 sütun: Her SAG dönemi kendi satın alma gücü cinsinden (GWIND/ASTOR/AKSEN/ENJSA/AYDEM ile aynı format).</t>
  </si>
  <si>
    <t>• TMS29 enflasyon düzeltmesi 2023'ten itibaren; 2022 ve öncesi Nominal TL (TMS29 öncesi dönem).</t>
  </si>
  <si>
    <t>• Tüm sütunlar (2020–2025) denetçi PDF'leriyle tam mutabakatlıdır; her statement raporlanan toplamlara birebir eşittir.</t>
  </si>
  <si>
    <t>• Durdurulan faaliyetler bazı yıllarda mevcuttur; net dönem karına ayrı satırda dahil edilmiştir.</t>
  </si>
  <si>
    <t>ZORLU ENERJİ ELEKTRİK ÜRETİM A.Ş. — FİNANSAL ORAN ANALİZİ / FINANCIAL RATIO ANALYSIS (2020–2025)</t>
  </si>
  <si>
    <t>1.00–1.50x</t>
  </si>
  <si>
    <t>0.70–1.20x</t>
  </si>
  <si>
    <t>%50–%75</t>
  </si>
  <si>
    <t>1.0–3.0x</t>
  </si>
  <si>
    <t>&lt; 5.00x</t>
  </si>
  <si>
    <t>2.0–4.0x</t>
  </si>
  <si>
    <t>%8–%20</t>
  </si>
  <si>
    <t>%5–%25</t>
  </si>
  <si>
    <t>%2–%10</t>
  </si>
  <si>
    <t>0.20–0.50x</t>
  </si>
  <si>
    <t>3–8x</t>
  </si>
  <si>
    <t>45–120 gün</t>
  </si>
  <si>
    <t>3–10x</t>
  </si>
  <si>
    <t>40–120 gün</t>
  </si>
  <si>
    <t>AYEN ENERJİ A.Ş. — KONSOLİDE BİLANÇO / CONSOLIDATED BALANCE SHEET (BİN TL)</t>
  </si>
  <si>
    <t xml:space="preserve">    İmtiyaz Finansal Varlıkları KV (ST concession assets)</t>
  </si>
  <si>
    <t xml:space="preserve">    Diğer Dönen Varlıklar (Diğer alacak, peşin gid., vb.)</t>
  </si>
  <si>
    <t xml:space="preserve">    Diğer Duran Varlıklar (İmtiyaz varlık, yat.amaçlı GM, vb.)</t>
  </si>
  <si>
    <t xml:space="preserve">    Diğer KV Yükümlülükler (Diğer borç, ert.gelir, karşılık)</t>
  </si>
  <si>
    <t xml:space="preserve">    Diğer UV Yükümlülükler (Ert. vergi, UV karşılık, vb.)</t>
  </si>
  <si>
    <t>İmtiyaz Fin.Varlık KV</t>
  </si>
  <si>
    <t>AYEN ENERJİ A.Ş. — GELİR TABLOSU / INCOME STATEMENT (BİN TL)</t>
  </si>
  <si>
    <t xml:space="preserve">        Esas Faal. Diğer Gelirler (Other op. income)</t>
  </si>
  <si>
    <t xml:space="preserve">        Esas Faal. Diğer Giderler (-) (Other op. expenses)</t>
  </si>
  <si>
    <t xml:space="preserve">        Yatırım Faaliyetlerinden Gelir/Gider, Net (Investing, net)</t>
  </si>
  <si>
    <t xml:space="preserve">        Net Parasal Pozisyon Kazancı/(Kaybı) (TMS29 Monetary)</t>
  </si>
  <si>
    <t xml:space="preserve">        Finansman Gelir/Giderleri, Net (Finance inc./exp., net)</t>
  </si>
  <si>
    <t>Yatırım Faal. Net</t>
  </si>
  <si>
    <t>AYEN ENERJİ A.Ş. — NAKİT AKIŞ TABLOSU / CASH FLOW (BİN TL)</t>
  </si>
  <si>
    <t xml:space="preserve">        Değer Düşüklüğü / Impairment</t>
  </si>
  <si>
    <t xml:space="preserve">        Diğer Finansman (Faiz, İlişkili, Pay) / Other financing</t>
  </si>
  <si>
    <t>• 9 sütun: Her SAG dönemi kendi satın alma gücü cinsinden (GWIND/ASTOR/AKSEN/ENJSA/AYDEM/ZOREN ile aynı format).</t>
  </si>
  <si>
    <t>• Ayen ham TL raporlamasından bin TL ölçeğine çevrilmiştir (diğer şirketlerle uyum için).</t>
  </si>
  <si>
    <t>AYEN ENERJİ A.Ş. — FİNANSAL ORAN ANALİZİ / FINANCIAL RATIO ANALYSIS (2020–2025)</t>
  </si>
  <si>
    <t>(Nakit+İmt.Var.+Tic.Alacak) / KV Y.</t>
  </si>
  <si>
    <t>%30–%55</t>
  </si>
  <si>
    <t>0.5–2.0x</t>
  </si>
  <si>
    <t>(Fin.Borç - Nakit) / FAVÖK</t>
  </si>
  <si>
    <t>&lt; 4.00x</t>
  </si>
  <si>
    <t>1.5–3.0x</t>
  </si>
  <si>
    <t>%20–%45</t>
  </si>
  <si>
    <t>%10–%35</t>
  </si>
  <si>
    <t>%2–%12</t>
  </si>
  <si>
    <t>0.15–0.45x</t>
  </si>
  <si>
    <t>5–25x</t>
  </si>
  <si>
    <t>15–70 gün</t>
  </si>
  <si>
    <t>8–40x</t>
  </si>
  <si>
    <t>10–50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</si>
</sst>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#,##0.0;\(#,##0.0\);\-"/>
    <numFmt numFmtId="165" formatCode="0.0%;\(0.0%\);\-"/>
    <numFmt numFmtId="166" formatCode="0.000&quot; TL&quot;"/>
    <numFmt numFmtId="167" formatCode="0.00\x"/>
    <numFmt numFmtId="168" formatCode="0.0&quot; gün&quot;"/>
    <numFmt numFmtId="169" formatCode="#,##0.0&quot; mn&quot;"/>
    <numFmt numFmtId="170" formatCode="0.00&quot; TL&quot;"/>
    <numFmt numFmtId="171" formatCode="0.00,,&quot;Mrd TL&quot;"/>
    <numFmt numFmtId="172" formatCode="#,##0;\(#,##0\);\-"/>
    <numFmt numFmtId="173" formatCode="#,##0.00;\(#,##0.00\);\-"/>
    <numFmt numFmtId="174" formatCode="0.0;\(0.0\);\-"/>
    <numFmt numFmtId="175" formatCode="0.00;\(0.00\);\-"/>
    <numFmt numFmtId="176" formatCode="0.0%"/>
    <numFmt numFmtId="177" formatCode="0.0"/>
    <numFmt numFmtId="178" formatCode="0.00\x;\(0.00&quot;x)&quot;;\-"/>
    <numFmt numFmtId="179" formatCode="0.00\x;\-0.00\x;\-"/>
    <numFmt numFmtId="180" formatCode="0.0%;\-0.0%;\-"/>
    <numFmt numFmtId="181" formatCode="0.00;\-0.00;\-"/>
    <numFmt numFmtId="182" formatCode="0.00\x;\-0.00\x;\–"/>
    <numFmt numFmtId="183" formatCode="0.0%;\-0.0%;\–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000000"/>
      <name val="Arial"/>
      <family val="2"/>
      <charset val="1"/>
    </font>
    <font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i/>
      <sz val="10"/>
      <color theme="0" tint="-0.499984740745262"/>
      <name val="Arial"/>
      <family val="2"/>
      <charset val="1"/>
    </font>
    <font>
      <b/>
      <i/>
      <sz val="10"/>
      <color theme="0" tint="-0.499984740745262"/>
      <name val="Arial"/>
      <family val="2"/>
      <charset val="1"/>
    </font>
    <font>
      <i/>
      <sz val="10"/>
      <color rgb="FF1F4E78"/>
      <name val="Arial"/>
      <family val="2"/>
      <charset val="1"/>
    </font>
    <font>
      <b/>
      <sz val="8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555555"/>
      <name val="Arial"/>
      <family val="2"/>
      <charset val="1"/>
    </font>
    <font>
      <b/>
      <sz val="14"/>
      <color theme="0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9"/>
      <color theme="1"/>
      <name val="Calibri"/>
      <family val="2"/>
      <charset val="1"/>
    </font>
    <font>
      <sz val="10"/>
      <name val="Calibri"/>
      <family val="2"/>
      <charset val="1"/>
    </font>
    <font>
      <sz val="11"/>
      <color rgb="FF1F1F1F"/>
      <name val="Arial"/>
      <family val="2"/>
      <charset val="1"/>
    </font>
    <font>
      <sz val="10"/>
      <color rgb="FFFFFFFF"/>
      <name val="Roboto"/>
      <charset val="1"/>
    </font>
    <font>
      <sz val="10"/>
      <color rgb="FF434343"/>
      <name val="Roboto"/>
      <charset val="1"/>
    </font>
    <font>
      <sz val="10"/>
      <color theme="1"/>
      <name val="Arial"/>
      <family val="2"/>
      <charset val="1"/>
    </font>
    <font>
      <b/>
      <sz val="8"/>
      <color theme="1"/>
      <name val="Calibri"/>
      <family val="2"/>
      <charset val="1"/>
    </font>
    <font>
      <b/>
      <sz val="10"/>
      <name val="Calibri"/>
      <family val="2"/>
      <charset val="1"/>
    </font>
    <font>
      <i/>
      <sz val="8"/>
      <color rgb="FF666666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666666"/>
      <name val="Calibri"/>
      <family val="2"/>
      <charset val="1"/>
    </font>
    <font>
      <i/>
      <sz val="8"/>
      <color theme="1" tint="0.49949644459364606"/>
      <name val="Calibri"/>
      <family val="2"/>
      <charset val="1"/>
    </font>
    <font>
      <i/>
      <sz val="10"/>
      <color rgb="FF7B2C2C"/>
      <name val="Arial"/>
      <family val="2"/>
      <charset val="1"/>
    </font>
    <font>
      <b/>
      <sz val="10"/>
      <color theme="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5696"/>
        <bgColor rgb="FF1F4E78"/>
      </patternFill>
    </fill>
    <fill>
      <patternFill patternType="solid">
        <fgColor rgb="FFD9E1EA"/>
        <bgColor rgb="FFDCE6F2"/>
      </patternFill>
    </fill>
    <fill>
      <patternFill patternType="solid">
        <fgColor rgb="FFF2F2F2"/>
        <bgColor rgb="FFE8EDF3"/>
      </patternFill>
    </fill>
    <fill>
      <patternFill patternType="solid">
        <fgColor rgb="FFFFFFFF"/>
        <bgColor rgb="FFF2F2F2"/>
      </patternFill>
    </fill>
    <fill>
      <patternFill patternType="solid">
        <fgColor rgb="FFE8EDF3"/>
        <bgColor rgb="FFF2F2F2"/>
      </patternFill>
    </fill>
    <fill>
      <patternFill patternType="solid">
        <fgColor rgb="FFDDEEFF"/>
        <bgColor rgb="FFE8EDF3"/>
      </patternFill>
    </fill>
    <fill>
      <patternFill patternType="solid">
        <fgColor theme="4" tint="0.79979857783745845"/>
        <bgColor rgb="FFD9E1EA"/>
      </patternFill>
    </fill>
    <fill>
      <patternFill patternType="solid">
        <fgColor rgb="FF25347B"/>
        <bgColor rgb="FF1A3A5C"/>
      </patternFill>
    </fill>
    <fill>
      <patternFill patternType="solid">
        <fgColor rgb="FFFFE6E6"/>
        <bgColor rgb="FFF2F2F2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B0B0B0"/>
      </bottom>
      <diagonal/>
    </border>
    <border>
      <left/>
      <right/>
      <top/>
      <bottom style="medium">
        <color rgb="FF1A3A5C"/>
      </bottom>
      <diagonal/>
    </border>
    <border>
      <left/>
      <right/>
      <top style="thin">
        <color rgb="FFAAAAAA"/>
      </top>
      <bottom style="medium">
        <color auto="1"/>
      </bottom>
      <diagonal/>
    </border>
    <border>
      <left/>
      <right/>
      <top/>
      <bottom style="thin">
        <color rgb="FFAAAAAA"/>
      </bottom>
      <diagonal/>
    </border>
    <border>
      <left/>
      <right/>
      <top/>
      <bottom style="thin">
        <color rgb="FFE0E0E0"/>
      </bottom>
      <diagonal/>
    </border>
    <border>
      <left style="thin">
        <color auto="1"/>
      </left>
      <right/>
      <top style="thin">
        <color rgb="FFAAAAAA"/>
      </top>
      <bottom style="thin">
        <color rgb="FFE0E0E0"/>
      </bottom>
      <diagonal/>
    </border>
    <border>
      <left/>
      <right/>
      <top style="thin">
        <color rgb="FFAAAAAA"/>
      </top>
      <bottom style="thin">
        <color rgb="FFE0E0E0"/>
      </bottom>
      <diagonal/>
    </border>
    <border>
      <left style="thin">
        <color auto="1"/>
      </left>
      <right/>
      <top style="thin">
        <color rgb="FFE0E0E0"/>
      </top>
      <bottom style="thin">
        <color rgb="FFE0E0E0"/>
      </bottom>
      <diagonal/>
    </border>
    <border>
      <left style="thin">
        <color auto="1"/>
      </left>
      <right/>
      <top/>
      <bottom style="thin">
        <color rgb="FFE0E0E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888888"/>
      </top>
      <bottom style="medium">
        <color auto="1"/>
      </bottom>
      <diagonal/>
    </border>
    <border>
      <left style="thin">
        <color auto="1"/>
      </left>
      <right/>
      <top style="thin">
        <color rgb="FF888888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rgb="FFE0E0E0"/>
      </top>
      <bottom style="thin">
        <color auto="1"/>
      </bottom>
      <diagonal/>
    </border>
    <border>
      <left style="thin">
        <color auto="1"/>
      </left>
      <right/>
      <top style="thin">
        <color rgb="FFE0E0E0"/>
      </top>
      <bottom style="thin">
        <color auto="1"/>
      </bottom>
      <diagonal/>
    </border>
    <border>
      <left/>
      <right/>
      <top style="thin">
        <color rgb="FFE0E0E0"/>
      </top>
      <bottom style="thin">
        <color rgb="FF88888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E0E0E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555555"/>
      </top>
      <bottom style="thin">
        <color rgb="FFAAAAAA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left" vertical="center" wrapText="1"/>
    </xf>
    <xf numFmtId="0" fontId="17" fillId="9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166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71" fontId="4" fillId="0" borderId="0" xfId="0" applyNumberFormat="1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172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72" fontId="4" fillId="5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172" fontId="3" fillId="3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2" fontId="7" fillId="0" borderId="0" xfId="0" applyNumberFormat="1" applyFont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172" fontId="3" fillId="6" borderId="1" xfId="0" applyNumberFormat="1" applyFont="1" applyFill="1" applyBorder="1" applyAlignment="1">
      <alignment horizontal="right" vertical="center"/>
    </xf>
    <xf numFmtId="165" fontId="3" fillId="6" borderId="0" xfId="0" applyNumberFormat="1" applyFont="1" applyFill="1" applyAlignment="1">
      <alignment horizontal="right" vertical="center"/>
    </xf>
    <xf numFmtId="173" fontId="4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172" fontId="3" fillId="6" borderId="2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167" fontId="4" fillId="5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  <xf numFmtId="174" fontId="4" fillId="5" borderId="1" xfId="0" applyNumberFormat="1" applyFont="1" applyFill="1" applyBorder="1" applyAlignment="1">
      <alignment horizontal="right" vertical="center"/>
    </xf>
    <xf numFmtId="175" fontId="4" fillId="5" borderId="1" xfId="0" applyNumberFormat="1" applyFont="1" applyFill="1" applyBorder="1" applyAlignment="1">
      <alignment horizontal="right" vertical="center"/>
    </xf>
    <xf numFmtId="175" fontId="4" fillId="5" borderId="0" xfId="0" applyNumberFormat="1" applyFont="1" applyFill="1" applyAlignment="1">
      <alignment horizontal="right" vertical="center"/>
    </xf>
    <xf numFmtId="171" fontId="4" fillId="5" borderId="1" xfId="0" applyNumberFormat="1" applyFont="1" applyFill="1" applyBorder="1" applyAlignment="1">
      <alignment horizontal="right" vertical="center"/>
    </xf>
    <xf numFmtId="167" fontId="7" fillId="0" borderId="0" xfId="0" applyNumberFormat="1" applyFont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172" fontId="4" fillId="5" borderId="3" xfId="0" applyNumberFormat="1" applyFont="1" applyFill="1" applyBorder="1" applyAlignment="1">
      <alignment horizontal="right" vertical="center"/>
    </xf>
    <xf numFmtId="0" fontId="10" fillId="7" borderId="0" xfId="0" applyFont="1" applyFill="1" applyAlignment="1">
      <alignment horizontal="left" vertical="top" wrapText="1"/>
    </xf>
    <xf numFmtId="0" fontId="3" fillId="8" borderId="4" xfId="0" applyFont="1" applyFill="1" applyBorder="1" applyAlignment="1">
      <alignment horizontal="left" vertical="center"/>
    </xf>
    <xf numFmtId="172" fontId="3" fillId="8" borderId="4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/>
    </xf>
    <xf numFmtId="172" fontId="4" fillId="6" borderId="3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173" fontId="4" fillId="5" borderId="3" xfId="0" applyNumberFormat="1" applyFont="1" applyFill="1" applyBorder="1" applyAlignment="1">
      <alignment horizontal="right" vertical="center"/>
    </xf>
    <xf numFmtId="0" fontId="11" fillId="3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/>
    </xf>
    <xf numFmtId="172" fontId="3" fillId="6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12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 applyProtection="1">
      <alignment horizontal="left" vertical="center" wrapText="1"/>
      <protection locked="0"/>
    </xf>
    <xf numFmtId="0" fontId="12" fillId="0" borderId="3" xfId="0" applyFont="1" applyBorder="1" applyAlignment="1">
      <alignment horizontal="left" vertical="center"/>
    </xf>
    <xf numFmtId="0" fontId="13" fillId="5" borderId="3" xfId="0" applyFont="1" applyFill="1" applyBorder="1" applyAlignment="1" applyProtection="1">
      <alignment horizontal="left" vertical="center" wrapText="1"/>
      <protection locked="0"/>
    </xf>
    <xf numFmtId="167" fontId="4" fillId="5" borderId="3" xfId="0" applyNumberFormat="1" applyFont="1" applyFill="1" applyBorder="1" applyAlignment="1">
      <alignment horizontal="right" vertical="center"/>
    </xf>
    <xf numFmtId="167" fontId="12" fillId="0" borderId="3" xfId="0" applyNumberFormat="1" applyFont="1" applyBorder="1" applyAlignment="1">
      <alignment horizontal="right" vertical="center"/>
    </xf>
    <xf numFmtId="176" fontId="4" fillId="5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7" fontId="4" fillId="5" borderId="3" xfId="0" applyNumberFormat="1" applyFont="1" applyFill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0" fontId="0" fillId="5" borderId="3" xfId="0" applyFill="1" applyBorder="1"/>
    <xf numFmtId="0" fontId="0" fillId="5" borderId="3" xfId="0" applyFill="1" applyBorder="1" applyProtection="1"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3" fontId="4" fillId="5" borderId="3" xfId="0" applyNumberFormat="1" applyFont="1" applyFill="1" applyBorder="1" applyAlignment="1">
      <alignment horizontal="right" vertical="center"/>
    </xf>
    <xf numFmtId="4" fontId="4" fillId="5" borderId="3" xfId="0" applyNumberFormat="1" applyFont="1" applyFill="1" applyBorder="1" applyAlignment="1">
      <alignment horizontal="right" vertical="center"/>
    </xf>
    <xf numFmtId="171" fontId="4" fillId="5" borderId="3" xfId="0" applyNumberFormat="1" applyFont="1" applyFill="1" applyBorder="1" applyAlignment="1">
      <alignment horizontal="right" vertical="center"/>
    </xf>
    <xf numFmtId="178" fontId="4" fillId="5" borderId="3" xfId="0" applyNumberFormat="1" applyFont="1" applyFill="1" applyBorder="1" applyAlignment="1">
      <alignment horizontal="right" vertical="center"/>
    </xf>
    <xf numFmtId="165" fontId="4" fillId="5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5" fillId="3" borderId="5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left" vertical="center"/>
    </xf>
    <xf numFmtId="172" fontId="16" fillId="5" borderId="7" xfId="0" applyNumberFormat="1" applyFont="1" applyFill="1" applyBorder="1" applyAlignment="1">
      <alignment horizontal="right" vertical="center"/>
    </xf>
    <xf numFmtId="172" fontId="16" fillId="5" borderId="8" xfId="0" applyNumberFormat="1" applyFont="1" applyFill="1" applyBorder="1" applyAlignment="1">
      <alignment horizontal="right" vertical="center"/>
    </xf>
    <xf numFmtId="3" fontId="16" fillId="5" borderId="8" xfId="0" applyNumberFormat="1" applyFont="1" applyFill="1" applyBorder="1" applyAlignment="1">
      <alignment horizontal="right" vertical="center"/>
    </xf>
    <xf numFmtId="3" fontId="16" fillId="5" borderId="9" xfId="0" applyNumberFormat="1" applyFont="1" applyFill="1" applyBorder="1" applyAlignment="1">
      <alignment horizontal="right" vertical="center"/>
    </xf>
    <xf numFmtId="3" fontId="16" fillId="5" borderId="7" xfId="0" applyNumberFormat="1" applyFont="1" applyFill="1" applyBorder="1" applyAlignment="1">
      <alignment horizontal="right" vertical="center"/>
    </xf>
    <xf numFmtId="165" fontId="4" fillId="0" borderId="7" xfId="0" applyNumberFormat="1" applyFont="1" applyBorder="1" applyAlignment="1">
      <alignment horizontal="right" vertical="center"/>
    </xf>
    <xf numFmtId="165" fontId="4" fillId="5" borderId="7" xfId="0" applyNumberFormat="1" applyFont="1" applyFill="1" applyBorder="1" applyAlignment="1">
      <alignment horizontal="right" vertical="center"/>
    </xf>
    <xf numFmtId="172" fontId="16" fillId="5" borderId="10" xfId="0" applyNumberFormat="1" applyFont="1" applyFill="1" applyBorder="1" applyAlignment="1">
      <alignment horizontal="right" vertical="center"/>
    </xf>
    <xf numFmtId="172" fontId="16" fillId="5" borderId="11" xfId="0" applyNumberFormat="1" applyFont="1" applyFill="1" applyBorder="1" applyAlignment="1">
      <alignment horizontal="right" vertical="center"/>
    </xf>
    <xf numFmtId="3" fontId="16" fillId="5" borderId="11" xfId="0" applyNumberFormat="1" applyFont="1" applyFill="1" applyBorder="1" applyAlignment="1">
      <alignment horizontal="right" vertical="center"/>
    </xf>
    <xf numFmtId="3" fontId="16" fillId="5" borderId="12" xfId="0" applyNumberFormat="1" applyFont="1" applyFill="1" applyBorder="1" applyAlignment="1">
      <alignment horizontal="right" vertical="center"/>
    </xf>
    <xf numFmtId="0" fontId="15" fillId="8" borderId="13" xfId="0" applyFont="1" applyFill="1" applyBorder="1" applyAlignment="1">
      <alignment horizontal="left" vertical="center"/>
    </xf>
    <xf numFmtId="172" fontId="15" fillId="8" borderId="13" xfId="0" applyNumberFormat="1" applyFont="1" applyFill="1" applyBorder="1" applyAlignment="1">
      <alignment horizontal="right" vertical="center"/>
    </xf>
    <xf numFmtId="172" fontId="15" fillId="8" borderId="14" xfId="0" applyNumberFormat="1" applyFont="1" applyFill="1" applyBorder="1" applyAlignment="1">
      <alignment horizontal="right" vertical="center"/>
    </xf>
    <xf numFmtId="3" fontId="15" fillId="8" borderId="15" xfId="0" applyNumberFormat="1" applyFont="1" applyFill="1" applyBorder="1" applyAlignment="1">
      <alignment horizontal="right" vertical="center"/>
    </xf>
    <xf numFmtId="3" fontId="15" fillId="8" borderId="13" xfId="0" applyNumberFormat="1" applyFont="1" applyFill="1" applyBorder="1" applyAlignment="1">
      <alignment horizontal="right" vertical="center"/>
    </xf>
    <xf numFmtId="165" fontId="3" fillId="0" borderId="13" xfId="0" applyNumberFormat="1" applyFont="1" applyBorder="1" applyAlignment="1">
      <alignment horizontal="right" vertical="center"/>
    </xf>
    <xf numFmtId="165" fontId="3" fillId="8" borderId="13" xfId="0" applyNumberFormat="1" applyFont="1" applyFill="1" applyBorder="1" applyAlignment="1">
      <alignment horizontal="right" vertical="center"/>
    </xf>
    <xf numFmtId="172" fontId="16" fillId="5" borderId="9" xfId="0" applyNumberFormat="1" applyFont="1" applyFill="1" applyBorder="1" applyAlignment="1">
      <alignment horizontal="right" vertical="center"/>
    </xf>
    <xf numFmtId="172" fontId="16" fillId="5" borderId="16" xfId="0" applyNumberFormat="1" applyFont="1" applyFill="1" applyBorder="1" applyAlignment="1">
      <alignment horizontal="right" vertical="center"/>
    </xf>
    <xf numFmtId="172" fontId="16" fillId="5" borderId="17" xfId="0" applyNumberFormat="1" applyFont="1" applyFill="1" applyBorder="1" applyAlignment="1">
      <alignment horizontal="right" vertical="center"/>
    </xf>
    <xf numFmtId="3" fontId="16" fillId="5" borderId="17" xfId="0" applyNumberFormat="1" applyFont="1" applyFill="1" applyBorder="1" applyAlignment="1">
      <alignment horizontal="right" vertical="center"/>
    </xf>
    <xf numFmtId="3" fontId="16" fillId="5" borderId="18" xfId="0" applyNumberFormat="1" applyFont="1" applyFill="1" applyBorder="1" applyAlignment="1">
      <alignment horizontal="right" vertical="center"/>
    </xf>
    <xf numFmtId="172" fontId="15" fillId="8" borderId="2" xfId="0" applyNumberFormat="1" applyFont="1" applyFill="1" applyBorder="1" applyAlignment="1">
      <alignment horizontal="right" vertical="center"/>
    </xf>
    <xf numFmtId="172" fontId="15" fillId="8" borderId="19" xfId="0" applyNumberFormat="1" applyFont="1" applyFill="1" applyBorder="1" applyAlignment="1">
      <alignment horizontal="right" vertical="center"/>
    </xf>
    <xf numFmtId="3" fontId="15" fillId="8" borderId="19" xfId="0" applyNumberFormat="1" applyFont="1" applyFill="1" applyBorder="1" applyAlignment="1">
      <alignment horizontal="right" vertical="center"/>
    </xf>
    <xf numFmtId="3" fontId="15" fillId="8" borderId="20" xfId="0" applyNumberFormat="1" applyFont="1" applyFill="1" applyBorder="1" applyAlignment="1">
      <alignment horizontal="right" vertical="center"/>
    </xf>
    <xf numFmtId="3" fontId="15" fillId="8" borderId="21" xfId="0" applyNumberFormat="1" applyFont="1" applyFill="1" applyBorder="1" applyAlignment="1">
      <alignment horizontal="right" vertical="center"/>
    </xf>
    <xf numFmtId="0" fontId="16" fillId="5" borderId="7" xfId="0" applyFont="1" applyFill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3" fontId="16" fillId="5" borderId="10" xfId="0" applyNumberFormat="1" applyFont="1" applyFill="1" applyBorder="1" applyAlignment="1">
      <alignment horizontal="right" vertical="center"/>
    </xf>
    <xf numFmtId="172" fontId="16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3" fontId="16" fillId="5" borderId="22" xfId="0" applyNumberFormat="1" applyFont="1" applyFill="1" applyBorder="1" applyAlignment="1">
      <alignment horizontal="right" vertical="center"/>
    </xf>
    <xf numFmtId="172" fontId="16" fillId="5" borderId="23" xfId="0" applyNumberFormat="1" applyFont="1" applyFill="1" applyBorder="1" applyAlignment="1">
      <alignment horizontal="right" vertical="center"/>
    </xf>
    <xf numFmtId="0" fontId="15" fillId="6" borderId="13" xfId="0" applyFont="1" applyFill="1" applyBorder="1" applyAlignment="1">
      <alignment horizontal="left" vertical="center"/>
    </xf>
    <xf numFmtId="172" fontId="15" fillId="6" borderId="13" xfId="0" applyNumberFormat="1" applyFont="1" applyFill="1" applyBorder="1" applyAlignment="1">
      <alignment horizontal="right" vertical="center"/>
    </xf>
    <xf numFmtId="172" fontId="15" fillId="6" borderId="14" xfId="0" applyNumberFormat="1" applyFont="1" applyFill="1" applyBorder="1" applyAlignment="1">
      <alignment horizontal="right" vertical="center"/>
    </xf>
    <xf numFmtId="165" fontId="3" fillId="6" borderId="1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6" fillId="0" borderId="12" xfId="0" applyFont="1" applyBorder="1" applyAlignment="1">
      <alignment horizontal="right" vertical="center"/>
    </xf>
    <xf numFmtId="3" fontId="15" fillId="6" borderId="13" xfId="0" applyNumberFormat="1" applyFont="1" applyFill="1" applyBorder="1" applyAlignment="1">
      <alignment horizontal="right" vertical="center"/>
    </xf>
    <xf numFmtId="0" fontId="19" fillId="5" borderId="1" xfId="0" applyFont="1" applyFill="1" applyBorder="1"/>
    <xf numFmtId="172" fontId="0" fillId="5" borderId="1" xfId="0" applyNumberFormat="1" applyFill="1" applyBorder="1"/>
    <xf numFmtId="172" fontId="0" fillId="5" borderId="24" xfId="0" applyNumberFormat="1" applyFill="1" applyBorder="1"/>
    <xf numFmtId="165" fontId="4" fillId="0" borderId="1" xfId="0" applyNumberFormat="1" applyFont="1" applyBorder="1" applyAlignment="1">
      <alignment horizontal="right" vertical="center"/>
    </xf>
    <xf numFmtId="172" fontId="0" fillId="5" borderId="25" xfId="0" applyNumberFormat="1" applyFill="1" applyBorder="1"/>
    <xf numFmtId="172" fontId="0" fillId="5" borderId="26" xfId="0" applyNumberFormat="1" applyFill="1" applyBorder="1"/>
    <xf numFmtId="172" fontId="0" fillId="5" borderId="27" xfId="0" applyNumberFormat="1" applyFill="1" applyBorder="1"/>
    <xf numFmtId="165" fontId="4" fillId="0" borderId="25" xfId="0" applyNumberFormat="1" applyFont="1" applyBorder="1" applyAlignment="1">
      <alignment horizontal="right" vertical="center"/>
    </xf>
    <xf numFmtId="165" fontId="4" fillId="5" borderId="25" xfId="0" applyNumberFormat="1" applyFont="1" applyFill="1" applyBorder="1" applyAlignment="1">
      <alignment horizontal="right" vertical="center"/>
    </xf>
    <xf numFmtId="172" fontId="15" fillId="6" borderId="2" xfId="0" applyNumberFormat="1" applyFont="1" applyFill="1" applyBorder="1" applyAlignment="1">
      <alignment horizontal="right" vertical="center"/>
    </xf>
    <xf numFmtId="172" fontId="15" fillId="6" borderId="19" xfId="0" applyNumberFormat="1" applyFont="1" applyFill="1" applyBorder="1" applyAlignment="1">
      <alignment horizontal="right" vertical="center"/>
    </xf>
    <xf numFmtId="3" fontId="15" fillId="6" borderId="2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3" fillId="6" borderId="2" xfId="0" applyNumberFormat="1" applyFont="1" applyFill="1" applyBorder="1" applyAlignment="1">
      <alignment horizontal="right" vertical="center"/>
    </xf>
    <xf numFmtId="3" fontId="15" fillId="6" borderId="21" xfId="0" applyNumberFormat="1" applyFont="1" applyFill="1" applyBorder="1" applyAlignment="1">
      <alignment horizontal="right" vertical="center"/>
    </xf>
    <xf numFmtId="0" fontId="16" fillId="5" borderId="11" xfId="0" applyFont="1" applyFill="1" applyBorder="1" applyAlignment="1">
      <alignment horizontal="right" vertical="center"/>
    </xf>
    <xf numFmtId="0" fontId="16" fillId="5" borderId="22" xfId="0" applyFont="1" applyFill="1" applyBorder="1" applyAlignment="1">
      <alignment horizontal="right" vertical="center"/>
    </xf>
    <xf numFmtId="0" fontId="20" fillId="0" borderId="0" xfId="0" applyFont="1"/>
    <xf numFmtId="0" fontId="16" fillId="5" borderId="28" xfId="0" applyFont="1" applyFill="1" applyBorder="1" applyAlignment="1">
      <alignment horizontal="right" vertical="center"/>
    </xf>
    <xf numFmtId="0" fontId="21" fillId="0" borderId="0" xfId="0" applyFont="1"/>
    <xf numFmtId="0" fontId="22" fillId="0" borderId="0" xfId="0" applyFont="1"/>
    <xf numFmtId="3" fontId="22" fillId="0" borderId="0" xfId="0" applyNumberFormat="1" applyFont="1"/>
    <xf numFmtId="0" fontId="23" fillId="0" borderId="0" xfId="0" applyFont="1"/>
    <xf numFmtId="0" fontId="24" fillId="3" borderId="5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left" vertical="center"/>
    </xf>
    <xf numFmtId="0" fontId="25" fillId="4" borderId="1" xfId="0" applyFont="1" applyFill="1" applyBorder="1"/>
    <xf numFmtId="0" fontId="25" fillId="0" borderId="1" xfId="0" applyFont="1" applyBorder="1"/>
    <xf numFmtId="0" fontId="19" fillId="5" borderId="1" xfId="0" applyFont="1" applyFill="1" applyBorder="1" applyAlignment="1">
      <alignment horizontal="left" vertical="center"/>
    </xf>
    <xf numFmtId="172" fontId="16" fillId="5" borderId="1" xfId="0" applyNumberFormat="1" applyFont="1" applyFill="1" applyBorder="1" applyAlignment="1">
      <alignment horizontal="right" vertical="center"/>
    </xf>
    <xf numFmtId="172" fontId="16" fillId="5" borderId="29" xfId="0" applyNumberFormat="1" applyFont="1" applyFill="1" applyBorder="1" applyAlignment="1">
      <alignment horizontal="right" vertical="center"/>
    </xf>
    <xf numFmtId="172" fontId="16" fillId="5" borderId="24" xfId="0" applyNumberFormat="1" applyFont="1" applyFill="1" applyBorder="1" applyAlignment="1">
      <alignment horizontal="right" vertical="center"/>
    </xf>
    <xf numFmtId="172" fontId="16" fillId="5" borderId="1" xfId="0" applyNumberFormat="1" applyFont="1" applyFill="1" applyBorder="1"/>
    <xf numFmtId="172" fontId="16" fillId="5" borderId="24" xfId="0" applyNumberFormat="1" applyFont="1" applyFill="1" applyBorder="1"/>
    <xf numFmtId="0" fontId="25" fillId="6" borderId="30" xfId="0" applyFont="1" applyFill="1" applyBorder="1" applyAlignment="1">
      <alignment horizontal="left" vertical="center"/>
    </xf>
    <xf numFmtId="172" fontId="25" fillId="6" borderId="30" xfId="0" applyNumberFormat="1" applyFont="1" applyFill="1" applyBorder="1" applyAlignment="1">
      <alignment horizontal="right" vertical="center"/>
    </xf>
    <xf numFmtId="172" fontId="25" fillId="6" borderId="15" xfId="0" applyNumberFormat="1" applyFont="1" applyFill="1" applyBorder="1" applyAlignment="1">
      <alignment horizontal="right" vertical="center"/>
    </xf>
    <xf numFmtId="165" fontId="3" fillId="0" borderId="30" xfId="0" applyNumberFormat="1" applyFont="1" applyBorder="1" applyAlignment="1">
      <alignment horizontal="right" vertical="center"/>
    </xf>
    <xf numFmtId="165" fontId="3" fillId="6" borderId="30" xfId="0" applyNumberFormat="1" applyFont="1" applyFill="1" applyBorder="1" applyAlignment="1">
      <alignment horizontal="right" vertical="center"/>
    </xf>
    <xf numFmtId="0" fontId="0" fillId="0" borderId="12" xfId="0" applyBorder="1"/>
    <xf numFmtId="0" fontId="25" fillId="4" borderId="24" xfId="0" applyFont="1" applyFill="1" applyBorder="1"/>
    <xf numFmtId="0" fontId="0" fillId="0" borderId="6" xfId="0" applyBorder="1"/>
    <xf numFmtId="3" fontId="25" fillId="6" borderId="30" xfId="0" applyNumberFormat="1" applyFont="1" applyFill="1" applyBorder="1"/>
    <xf numFmtId="3" fontId="25" fillId="6" borderId="15" xfId="0" applyNumberFormat="1" applyFont="1" applyFill="1" applyBorder="1"/>
    <xf numFmtId="0" fontId="27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right" vertical="center" wrapText="1"/>
    </xf>
    <xf numFmtId="0" fontId="15" fillId="8" borderId="2" xfId="0" applyFont="1" applyFill="1" applyBorder="1" applyAlignment="1">
      <alignment horizontal="right" vertical="center" wrapText="1"/>
    </xf>
    <xf numFmtId="0" fontId="28" fillId="5" borderId="7" xfId="0" applyFont="1" applyFill="1" applyBorder="1" applyAlignment="1">
      <alignment horizontal="left" vertical="center"/>
    </xf>
    <xf numFmtId="0" fontId="26" fillId="5" borderId="7" xfId="0" applyFont="1" applyFill="1" applyBorder="1" applyAlignment="1">
      <alignment horizontal="left" vertical="center" wrapText="1"/>
    </xf>
    <xf numFmtId="0" fontId="29" fillId="5" borderId="7" xfId="0" applyFont="1" applyFill="1" applyBorder="1" applyAlignment="1">
      <alignment horizontal="center" vertical="center"/>
    </xf>
    <xf numFmtId="179" fontId="28" fillId="5" borderId="7" xfId="0" applyNumberFormat="1" applyFont="1" applyFill="1" applyBorder="1" applyAlignment="1">
      <alignment horizontal="right" vertical="center"/>
    </xf>
    <xf numFmtId="180" fontId="28" fillId="5" borderId="7" xfId="0" applyNumberFormat="1" applyFont="1" applyFill="1" applyBorder="1" applyAlignment="1">
      <alignment horizontal="right" vertical="center"/>
    </xf>
    <xf numFmtId="178" fontId="28" fillId="5" borderId="7" xfId="0" applyNumberFormat="1" applyFont="1" applyFill="1" applyBorder="1" applyAlignment="1">
      <alignment horizontal="right" vertical="center"/>
    </xf>
    <xf numFmtId="0" fontId="0" fillId="0" borderId="31" xfId="0" applyBorder="1"/>
    <xf numFmtId="181" fontId="28" fillId="5" borderId="7" xfId="0" applyNumberFormat="1" applyFont="1" applyFill="1" applyBorder="1" applyAlignment="1">
      <alignment horizontal="right" vertical="center"/>
    </xf>
    <xf numFmtId="180" fontId="28" fillId="5" borderId="28" xfId="0" applyNumberFormat="1" applyFont="1" applyFill="1" applyBorder="1" applyAlignment="1">
      <alignment horizontal="right" vertical="center"/>
    </xf>
    <xf numFmtId="179" fontId="28" fillId="5" borderId="32" xfId="0" applyNumberFormat="1" applyFont="1" applyFill="1" applyBorder="1" applyAlignment="1">
      <alignment horizontal="right" vertical="center"/>
    </xf>
    <xf numFmtId="179" fontId="28" fillId="5" borderId="33" xfId="0" applyNumberFormat="1" applyFont="1" applyFill="1" applyBorder="1" applyAlignment="1">
      <alignment horizontal="right" vertical="center"/>
    </xf>
    <xf numFmtId="180" fontId="28" fillId="5" borderId="34" xfId="0" applyNumberFormat="1" applyFont="1" applyFill="1" applyBorder="1" applyAlignment="1">
      <alignment horizontal="right" vertical="center"/>
    </xf>
    <xf numFmtId="165" fontId="28" fillId="5" borderId="7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30" fillId="5" borderId="1" xfId="0" applyFont="1" applyFill="1" applyBorder="1"/>
    <xf numFmtId="0" fontId="0" fillId="5" borderId="1" xfId="0" applyFill="1" applyBorder="1"/>
    <xf numFmtId="0" fontId="0" fillId="0" borderId="35" xfId="0" applyBorder="1"/>
    <xf numFmtId="4" fontId="0" fillId="5" borderId="1" xfId="0" applyNumberFormat="1" applyFill="1" applyBorder="1"/>
    <xf numFmtId="4" fontId="0" fillId="0" borderId="35" xfId="0" applyNumberFormat="1" applyBorder="1"/>
    <xf numFmtId="4" fontId="0" fillId="0" borderId="1" xfId="0" applyNumberFormat="1" applyBorder="1"/>
    <xf numFmtId="0" fontId="30" fillId="0" borderId="0" xfId="0" applyFont="1"/>
    <xf numFmtId="4" fontId="16" fillId="5" borderId="1" xfId="0" applyNumberFormat="1" applyFont="1" applyFill="1" applyBorder="1"/>
    <xf numFmtId="4" fontId="16" fillId="0" borderId="35" xfId="0" applyNumberFormat="1" applyFont="1" applyBorder="1"/>
    <xf numFmtId="171" fontId="0" fillId="5" borderId="1" xfId="0" applyNumberFormat="1" applyFill="1" applyBorder="1"/>
    <xf numFmtId="3" fontId="0" fillId="0" borderId="35" xfId="0" applyNumberFormat="1" applyBorder="1"/>
    <xf numFmtId="179" fontId="0" fillId="5" borderId="1" xfId="0" applyNumberFormat="1" applyFill="1" applyBorder="1"/>
    <xf numFmtId="182" fontId="0" fillId="5" borderId="1" xfId="0" applyNumberFormat="1" applyFill="1" applyBorder="1" applyAlignment="1">
      <alignment horizontal="right"/>
    </xf>
    <xf numFmtId="182" fontId="0" fillId="5" borderId="1" xfId="0" applyNumberFormat="1" applyFill="1" applyBorder="1"/>
    <xf numFmtId="179" fontId="0" fillId="0" borderId="35" xfId="0" applyNumberFormat="1" applyBorder="1"/>
    <xf numFmtId="0" fontId="31" fillId="10" borderId="0" xfId="0" applyFont="1" applyFill="1" applyAlignment="1">
      <alignment horizontal="left" vertical="top" wrapText="1"/>
    </xf>
    <xf numFmtId="180" fontId="0" fillId="5" borderId="1" xfId="0" applyNumberFormat="1" applyFill="1" applyBorder="1"/>
    <xf numFmtId="183" fontId="0" fillId="5" borderId="1" xfId="0" applyNumberFormat="1" applyFill="1" applyBorder="1"/>
    <xf numFmtId="180" fontId="0" fillId="0" borderId="35" xfId="0" applyNumberFormat="1" applyBorder="1"/>
    <xf numFmtId="0" fontId="27" fillId="3" borderId="36" xfId="0" applyFont="1" applyFill="1" applyBorder="1" applyAlignment="1">
      <alignment horizontal="left" vertical="center" indent="1"/>
    </xf>
    <xf numFmtId="0" fontId="27" fillId="3" borderId="2" xfId="0" applyFont="1" applyFill="1" applyBorder="1" applyAlignment="1">
      <alignment horizontal="left" vertical="center" wrapText="1"/>
    </xf>
    <xf numFmtId="0" fontId="27" fillId="4" borderId="6" xfId="0" applyFont="1" applyFill="1" applyBorder="1" applyAlignment="1">
      <alignment horizontal="left" vertical="center"/>
    </xf>
    <xf numFmtId="0" fontId="27" fillId="4" borderId="6" xfId="0" applyFont="1" applyFill="1" applyBorder="1"/>
    <xf numFmtId="4" fontId="28" fillId="5" borderId="7" xfId="0" applyNumberFormat="1" applyFont="1" applyFill="1" applyBorder="1" applyAlignment="1">
      <alignment horizontal="right" vertical="center"/>
    </xf>
    <xf numFmtId="4" fontId="27" fillId="4" borderId="6" xfId="0" applyNumberFormat="1" applyFont="1" applyFill="1" applyBorder="1" applyAlignment="1">
      <alignment horizontal="right" vertical="center"/>
    </xf>
    <xf numFmtId="4" fontId="27" fillId="4" borderId="6" xfId="0" applyNumberFormat="1" applyFont="1" applyFill="1" applyBorder="1"/>
    <xf numFmtId="0" fontId="27" fillId="6" borderId="13" xfId="0" applyFont="1" applyFill="1" applyBorder="1" applyAlignment="1">
      <alignment horizontal="left" vertical="center"/>
    </xf>
    <xf numFmtId="4" fontId="27" fillId="6" borderId="13" xfId="0" applyNumberFormat="1" applyFont="1" applyFill="1" applyBorder="1" applyAlignment="1">
      <alignment horizontal="right" vertical="center"/>
    </xf>
    <xf numFmtId="4" fontId="27" fillId="3" borderId="36" xfId="0" applyNumberFormat="1" applyFont="1" applyFill="1" applyBorder="1" applyAlignment="1">
      <alignment horizontal="left" vertical="center" indent="1"/>
    </xf>
    <xf numFmtId="0" fontId="28" fillId="5" borderId="7" xfId="0" applyFont="1" applyFill="1" applyBorder="1" applyAlignment="1">
      <alignment horizontal="right" vertical="center"/>
    </xf>
    <xf numFmtId="0" fontId="32" fillId="9" borderId="6" xfId="0" applyFont="1" applyFill="1" applyBorder="1" applyAlignment="1">
      <alignment horizontal="center" vertical="center"/>
    </xf>
    <xf numFmtId="0" fontId="27" fillId="9" borderId="6" xfId="0" applyFont="1" applyFill="1" applyBorder="1"/>
    <xf numFmtId="4" fontId="27" fillId="3" borderId="2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3" fillId="4" borderId="0" xfId="0" applyFont="1" applyFill="1" applyAlignment="1">
      <alignment vertical="center"/>
    </xf>
    <xf numFmtId="167" fontId="3" fillId="3" borderId="0" xfId="0" applyNumberFormat="1" applyFont="1" applyFill="1" applyAlignment="1">
      <alignment horizontal="right" vertical="center"/>
    </xf>
    <xf numFmtId="167" fontId="0" fillId="0" borderId="0" xfId="0" applyNumberFormat="1"/>
    <xf numFmtId="168" fontId="3" fillId="3" borderId="0" xfId="0" applyNumberFormat="1" applyFont="1" applyFill="1" applyAlignment="1">
      <alignment horizontal="right" vertical="center"/>
    </xf>
    <xf numFmtId="168" fontId="0" fillId="0" borderId="0" xfId="0" applyNumberFormat="1"/>
    <xf numFmtId="165" fontId="0" fillId="0" borderId="0" xfId="0" applyNumberFormat="1"/>
    <xf numFmtId="170" fontId="3" fillId="3" borderId="0" xfId="0" applyNumberFormat="1" applyFont="1" applyFill="1" applyAlignment="1">
      <alignment horizontal="right" vertical="center"/>
    </xf>
    <xf numFmtId="170" fontId="0" fillId="0" borderId="0" xfId="0" applyNumberFormat="1"/>
    <xf numFmtId="169" fontId="3" fillId="3" borderId="0" xfId="0" applyNumberFormat="1" applyFont="1" applyFill="1" applyAlignment="1">
      <alignment horizontal="right" vertical="center"/>
    </xf>
    <xf numFmtId="169" fontId="0" fillId="0" borderId="0" xfId="0" applyNumberFormat="1"/>
    <xf numFmtId="166" fontId="3" fillId="3" borderId="0" xfId="0" applyNumberFormat="1" applyFont="1" applyFill="1" applyAlignment="1">
      <alignment horizontal="right" vertical="center"/>
    </xf>
    <xf numFmtId="166" fontId="0" fillId="0" borderId="0" xfId="0" applyNumberFormat="1"/>
    <xf numFmtId="171" fontId="3" fillId="3" borderId="0" xfId="0" applyNumberFormat="1" applyFont="1" applyFill="1" applyAlignment="1">
      <alignment horizontal="right" vertical="center"/>
    </xf>
    <xf numFmtId="171" fontId="0" fillId="0" borderId="0" xfId="0" applyNumberFormat="1"/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 indent="1"/>
    </xf>
    <xf numFmtId="0" fontId="17" fillId="9" borderId="0" xfId="0" applyFont="1" applyFill="1" applyAlignment="1">
      <alignment horizontal="left" vertical="center" indent="1"/>
    </xf>
    <xf numFmtId="0" fontId="27" fillId="4" borderId="6" xfId="0" applyFont="1" applyFill="1" applyBorder="1" applyAlignment="1">
      <alignment horizontal="left" vertical="center" indent="1"/>
    </xf>
    <xf numFmtId="0" fontId="17" fillId="9" borderId="31" xfId="0" applyFont="1" applyFill="1" applyBorder="1" applyAlignment="1">
      <alignment horizontal="left" vertical="center" indent="1"/>
    </xf>
    <xf numFmtId="0" fontId="26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1F4E78"/>
      <rgbColor rgb="FFB0B0B0"/>
      <rgbColor rgb="FF808080"/>
      <rgbColor rgb="FFAAAAAA"/>
      <rgbColor rgb="FF595959"/>
      <rgbColor rgb="FFF2F2F2"/>
      <rgbColor rgb="FFDDEEFF"/>
      <rgbColor rgb="FF660066"/>
      <rgbColor rgb="FFFF8080"/>
      <rgbColor rgb="FF005696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DCE6F2"/>
      <rgbColor rgb="FFFFE6E6"/>
      <rgbColor rgb="FF99CCFF"/>
      <rgbColor rgb="FFFF99CC"/>
      <rgbColor rgb="FFCC99FF"/>
      <rgbColor rgb="FFE0E0E0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1A3A5C"/>
      <rgbColor rgb="FF339966"/>
      <rgbColor rgb="FF003300"/>
      <rgbColor rgb="FF1F1F1F"/>
      <rgbColor rgb="FF7B2C2C"/>
      <rgbColor rgb="FF555555"/>
      <rgbColor rgb="FF25347B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45" sqref="H45"/>
    </sheetView>
  </sheetViews>
  <sheetFormatPr baseColWidth="10" defaultColWidth="8.6640625" defaultRowHeight="15" x14ac:dyDescent="0.2"/>
  <cols>
    <col min="1" max="1" width="64" customWidth="1"/>
    <col min="2" max="10" width="14" customWidth="1"/>
    <col min="11" max="11" width="31" customWidth="1"/>
    <col min="12" max="20" width="16" customWidth="1"/>
  </cols>
  <sheetData>
    <row r="1" spans="1:20" ht="21.75" customHeight="1" x14ac:dyDescent="0.2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5" t="s">
        <v>12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20" ht="15" customHeight="1" x14ac:dyDescent="0.2">
      <c r="A4" s="255" t="s">
        <v>13</v>
      </c>
      <c r="B4" s="255"/>
      <c r="C4" s="255"/>
      <c r="D4" s="255"/>
      <c r="E4" s="255"/>
      <c r="F4" s="255"/>
      <c r="G4" s="255"/>
      <c r="H4" s="255"/>
      <c r="I4" s="255"/>
      <c r="J4" s="255"/>
    </row>
    <row r="5" spans="1:20" ht="15" customHeight="1" x14ac:dyDescent="0.2">
      <c r="A5" s="8" t="s">
        <v>14</v>
      </c>
      <c r="B5" s="9">
        <v>1187134.696</v>
      </c>
      <c r="C5" s="9">
        <v>1725691.149</v>
      </c>
      <c r="D5" s="9">
        <v>1318405.1129999999</v>
      </c>
      <c r="E5" s="9">
        <v>95293.91</v>
      </c>
      <c r="F5" s="9">
        <v>66002.716</v>
      </c>
      <c r="G5" s="9">
        <v>1085983.8189999999</v>
      </c>
      <c r="H5" s="9">
        <v>659079.06999999995</v>
      </c>
      <c r="I5" s="9">
        <v>158919.076</v>
      </c>
      <c r="J5" s="9">
        <v>66124.675000000003</v>
      </c>
      <c r="L5" s="10">
        <f t="shared" ref="L5:T5" si="0">IFERROR(B5/B16,"")</f>
        <v>5.8368510377282377E-2</v>
      </c>
      <c r="M5" s="10">
        <f t="shared" si="0"/>
        <v>8.9024186919167053E-2</v>
      </c>
      <c r="N5" s="10">
        <f t="shared" si="0"/>
        <v>8.9024186937245522E-2</v>
      </c>
      <c r="O5" s="10">
        <f t="shared" si="0"/>
        <v>7.2058992596189895E-3</v>
      </c>
      <c r="P5" s="10">
        <f t="shared" si="0"/>
        <v>7.2058992929311776E-3</v>
      </c>
      <c r="Q5" s="10">
        <f t="shared" si="0"/>
        <v>0.12394282452630004</v>
      </c>
      <c r="R5" s="10">
        <f t="shared" si="0"/>
        <v>0.26722761704739606</v>
      </c>
      <c r="S5" s="10">
        <f t="shared" si="0"/>
        <v>8.9907403604879019E-2</v>
      </c>
      <c r="T5" s="10">
        <f t="shared" si="0"/>
        <v>4.0802119245031028E-2</v>
      </c>
    </row>
    <row r="6" spans="1:20" ht="15" customHeight="1" x14ac:dyDescent="0.2">
      <c r="A6" s="8" t="s">
        <v>15</v>
      </c>
      <c r="B6" s="9">
        <v>653770.19499999995</v>
      </c>
      <c r="C6" s="9">
        <v>0</v>
      </c>
      <c r="D6" s="9">
        <v>0</v>
      </c>
      <c r="E6" s="9">
        <v>127473.43799999999</v>
      </c>
      <c r="F6" s="9">
        <v>88290.983999999997</v>
      </c>
      <c r="G6" s="9">
        <v>125720.818</v>
      </c>
      <c r="H6" s="9">
        <v>76299.441999999995</v>
      </c>
      <c r="I6" s="9">
        <v>0</v>
      </c>
      <c r="J6" s="9">
        <v>0</v>
      </c>
      <c r="L6" s="10">
        <f t="shared" ref="L6:T6" si="1">IFERROR(B6/B16,"")</f>
        <v>3.2144281975577456E-2</v>
      </c>
      <c r="M6" s="10">
        <f t="shared" si="1"/>
        <v>0</v>
      </c>
      <c r="N6" s="10">
        <f t="shared" si="1"/>
        <v>0</v>
      </c>
      <c r="O6" s="10">
        <f t="shared" si="1"/>
        <v>9.6392387772239289E-3</v>
      </c>
      <c r="P6" s="10">
        <f t="shared" si="1"/>
        <v>9.6392387728074375E-3</v>
      </c>
      <c r="Q6" s="10">
        <f t="shared" si="1"/>
        <v>1.434845806360666E-2</v>
      </c>
      <c r="R6" s="10">
        <f t="shared" si="1"/>
        <v>3.0936072765451354E-2</v>
      </c>
      <c r="S6" s="10">
        <f t="shared" si="1"/>
        <v>0</v>
      </c>
      <c r="T6" s="10">
        <f t="shared" si="1"/>
        <v>0</v>
      </c>
    </row>
    <row r="7" spans="1:20" ht="15" customHeight="1" x14ac:dyDescent="0.2">
      <c r="A7" s="8" t="s">
        <v>16</v>
      </c>
      <c r="B7" s="9">
        <v>284414.93</v>
      </c>
      <c r="C7" s="9">
        <v>287927.65399999998</v>
      </c>
      <c r="D7" s="9">
        <v>219977.90700000001</v>
      </c>
      <c r="E7" s="9">
        <v>199688.277</v>
      </c>
      <c r="F7" s="9">
        <v>138308.614</v>
      </c>
      <c r="G7" s="9">
        <v>138620.845</v>
      </c>
      <c r="H7" s="9">
        <v>84128.414000000004</v>
      </c>
      <c r="I7" s="9">
        <v>84322.217000000004</v>
      </c>
      <c r="J7" s="9">
        <v>34809.442000000003</v>
      </c>
      <c r="L7" s="10">
        <f t="shared" ref="L7:T7" si="2">IFERROR(B7/B16,"")</f>
        <v>1.3983986694260547E-2</v>
      </c>
      <c r="M7" s="10">
        <f t="shared" si="2"/>
        <v>1.4853483662906159E-2</v>
      </c>
      <c r="N7" s="10">
        <f t="shared" si="2"/>
        <v>1.4853821577095182E-2</v>
      </c>
      <c r="O7" s="10">
        <f t="shared" si="2"/>
        <v>1.5099953474349953E-2</v>
      </c>
      <c r="P7" s="10">
        <f t="shared" si="2"/>
        <v>1.5099953520532262E-2</v>
      </c>
      <c r="Q7" s="10">
        <f t="shared" si="2"/>
        <v>1.5820732102015268E-2</v>
      </c>
      <c r="R7" s="10">
        <f t="shared" si="2"/>
        <v>3.4110377073871871E-2</v>
      </c>
      <c r="S7" s="10">
        <f t="shared" si="2"/>
        <v>4.7704729900878554E-2</v>
      </c>
      <c r="T7" s="10">
        <f t="shared" si="2"/>
        <v>2.1479107509216361E-2</v>
      </c>
    </row>
    <row r="8" spans="1:20" ht="15" customHeight="1" x14ac:dyDescent="0.2">
      <c r="A8" s="8" t="s">
        <v>17</v>
      </c>
      <c r="B8" s="9">
        <v>4409.4830000000002</v>
      </c>
      <c r="C8" s="9">
        <v>9281.3889999999992</v>
      </c>
      <c r="D8" s="9">
        <v>7090.857</v>
      </c>
      <c r="E8" s="9">
        <v>7090.857</v>
      </c>
      <c r="F8" s="9">
        <v>4911.2879999999996</v>
      </c>
      <c r="G8" s="9">
        <v>4939.75</v>
      </c>
      <c r="H8" s="9">
        <v>818.69500000000005</v>
      </c>
      <c r="I8" s="9">
        <v>835.02200000000005</v>
      </c>
      <c r="J8" s="9">
        <v>1664.9770000000001</v>
      </c>
      <c r="L8" s="10">
        <f t="shared" ref="L8:T8" si="3">IFERROR(B8/B16,"")</f>
        <v>2.1680349762429169E-4</v>
      </c>
      <c r="M8" s="10">
        <f t="shared" si="3"/>
        <v>4.7880416474541527E-4</v>
      </c>
      <c r="N8" s="10">
        <f t="shared" si="3"/>
        <v>4.7880410420804854E-4</v>
      </c>
      <c r="O8" s="10">
        <f t="shared" si="3"/>
        <v>5.3619377362482167E-4</v>
      </c>
      <c r="P8" s="10">
        <f t="shared" si="3"/>
        <v>5.3619379430660662E-4</v>
      </c>
      <c r="Q8" s="10">
        <f t="shared" si="3"/>
        <v>5.6377135344204486E-4</v>
      </c>
      <c r="R8" s="10">
        <f t="shared" si="3"/>
        <v>3.3194486655238186E-4</v>
      </c>
      <c r="S8" s="10">
        <f t="shared" si="3"/>
        <v>4.7240810771485543E-4</v>
      </c>
      <c r="T8" s="10">
        <f t="shared" si="3"/>
        <v>1.0273712512648874E-3</v>
      </c>
    </row>
    <row r="9" spans="1:20" ht="15" customHeight="1" x14ac:dyDescent="0.2">
      <c r="A9" s="8" t="s">
        <v>18</v>
      </c>
      <c r="B9" s="9">
        <v>60201.531000000003</v>
      </c>
      <c r="C9" s="9">
        <v>94202.657999999996</v>
      </c>
      <c r="D9" s="9">
        <v>71964.574999999997</v>
      </c>
      <c r="E9" s="9">
        <v>41725</v>
      </c>
      <c r="F9" s="9">
        <v>28899.679</v>
      </c>
      <c r="G9" s="9">
        <v>150499.57399999999</v>
      </c>
      <c r="H9" s="9">
        <v>87980.426000000007</v>
      </c>
      <c r="I9" s="9">
        <v>145014.459</v>
      </c>
      <c r="J9" s="9">
        <v>68896.001000000004</v>
      </c>
      <c r="L9" s="10">
        <f t="shared" ref="L9:T9" si="4">IFERROR(B9/B16,"")</f>
        <v>2.9599620824339776E-3</v>
      </c>
      <c r="M9" s="10">
        <f t="shared" si="4"/>
        <v>4.859684792921406E-3</v>
      </c>
      <c r="N9" s="10">
        <f t="shared" si="4"/>
        <v>4.859346883964508E-3</v>
      </c>
      <c r="O9" s="10">
        <f t="shared" si="4"/>
        <v>3.1551454506127657E-3</v>
      </c>
      <c r="P9" s="10">
        <f t="shared" si="4"/>
        <v>3.1551455620710818E-3</v>
      </c>
      <c r="Q9" s="10">
        <f t="shared" si="4"/>
        <v>1.7176445878117553E-2</v>
      </c>
      <c r="R9" s="10">
        <f t="shared" si="4"/>
        <v>3.5672198764853467E-2</v>
      </c>
      <c r="S9" s="10">
        <f t="shared" si="4"/>
        <v>8.2040959600445829E-2</v>
      </c>
      <c r="T9" s="10">
        <f t="shared" si="4"/>
        <v>4.2512161281817666E-2</v>
      </c>
    </row>
    <row r="10" spans="1:20" ht="15" customHeight="1" x14ac:dyDescent="0.2">
      <c r="A10" s="6" t="s">
        <v>19</v>
      </c>
      <c r="B10" s="11">
        <f t="shared" ref="B10:J10" si="5">SUM(B5:B9)</f>
        <v>2189930.835</v>
      </c>
      <c r="C10" s="11">
        <f t="shared" si="5"/>
        <v>2117102.8499999996</v>
      </c>
      <c r="D10" s="11">
        <f t="shared" si="5"/>
        <v>1617438.452</v>
      </c>
      <c r="E10" s="11">
        <f t="shared" si="5"/>
        <v>471271.48200000002</v>
      </c>
      <c r="F10" s="11">
        <f t="shared" si="5"/>
        <v>326413.28100000002</v>
      </c>
      <c r="G10" s="11">
        <f t="shared" si="5"/>
        <v>1505764.8059999999</v>
      </c>
      <c r="H10" s="11">
        <f t="shared" si="5"/>
        <v>908306.0469999999</v>
      </c>
      <c r="I10" s="11">
        <f t="shared" si="5"/>
        <v>389090.77399999998</v>
      </c>
      <c r="J10" s="11">
        <f t="shared" si="5"/>
        <v>171495.095</v>
      </c>
      <c r="L10" s="12">
        <f t="shared" ref="L10:T10" si="6">IFERROR(B10/B16,"")</f>
        <v>0.10767354462717865</v>
      </c>
      <c r="M10" s="12">
        <f t="shared" si="6"/>
        <v>0.10921615953974002</v>
      </c>
      <c r="N10" s="12">
        <f t="shared" si="6"/>
        <v>0.10921615950251326</v>
      </c>
      <c r="O10" s="12">
        <f t="shared" si="6"/>
        <v>3.5636430735430463E-2</v>
      </c>
      <c r="P10" s="12">
        <f t="shared" si="6"/>
        <v>3.5636430942648567E-2</v>
      </c>
      <c r="Q10" s="12">
        <f t="shared" si="6"/>
        <v>0.17185223192348156</v>
      </c>
      <c r="R10" s="12">
        <f t="shared" si="6"/>
        <v>0.36827821051812509</v>
      </c>
      <c r="S10" s="12">
        <f t="shared" si="6"/>
        <v>0.22012550121391825</v>
      </c>
      <c r="T10" s="12">
        <f t="shared" si="6"/>
        <v>0.10582075928732994</v>
      </c>
    </row>
    <row r="11" spans="1:20" ht="15" customHeight="1" x14ac:dyDescent="0.2">
      <c r="A11" s="255" t="s">
        <v>20</v>
      </c>
      <c r="B11" s="255"/>
      <c r="C11" s="255"/>
      <c r="D11" s="255"/>
      <c r="E11" s="255"/>
      <c r="F11" s="255"/>
      <c r="G11" s="255"/>
      <c r="H11" s="255"/>
      <c r="I11" s="255"/>
      <c r="J11" s="255"/>
    </row>
    <row r="12" spans="1:20" ht="15" customHeight="1" x14ac:dyDescent="0.2">
      <c r="A12" s="8" t="s">
        <v>21</v>
      </c>
      <c r="B12" s="9">
        <v>11487461.811000001</v>
      </c>
      <c r="C12" s="9">
        <v>11669954.416999999</v>
      </c>
      <c r="D12" s="9">
        <v>8915690.1449999996</v>
      </c>
      <c r="E12" s="9">
        <v>7429653.2139999997</v>
      </c>
      <c r="F12" s="9">
        <v>5145945.7240000004</v>
      </c>
      <c r="G12" s="9">
        <v>4148764.6869999999</v>
      </c>
      <c r="H12" s="9">
        <v>892677.40500000003</v>
      </c>
      <c r="I12" s="9">
        <v>880684.72499999998</v>
      </c>
      <c r="J12" s="9">
        <v>849661.99899999995</v>
      </c>
      <c r="L12" s="10">
        <f t="shared" ref="L12:T12" si="7">IFERROR(B12/B16,"")</f>
        <v>0.56481040962178108</v>
      </c>
      <c r="M12" s="10">
        <f t="shared" si="7"/>
        <v>0.60202441436823251</v>
      </c>
      <c r="N12" s="10">
        <f t="shared" si="7"/>
        <v>0.60202441443583632</v>
      </c>
      <c r="O12" s="10">
        <f t="shared" si="7"/>
        <v>0.56181273907208173</v>
      </c>
      <c r="P12" s="10">
        <f t="shared" si="7"/>
        <v>0.56181273894901262</v>
      </c>
      <c r="Q12" s="10">
        <f t="shared" si="7"/>
        <v>0.47349657021155961</v>
      </c>
      <c r="R12" s="10">
        <f t="shared" si="7"/>
        <v>0.36194148257538095</v>
      </c>
      <c r="S12" s="10">
        <f t="shared" si="7"/>
        <v>0.4982414887639221</v>
      </c>
      <c r="T12" s="10">
        <f t="shared" si="7"/>
        <v>0.52428250424171352</v>
      </c>
    </row>
    <row r="13" spans="1:20" ht="15" customHeight="1" x14ac:dyDescent="0.2">
      <c r="A13" s="8" t="s">
        <v>22</v>
      </c>
      <c r="B13" s="9">
        <v>6097478.7819999997</v>
      </c>
      <c r="C13" s="9">
        <v>5025353.16</v>
      </c>
      <c r="D13" s="9">
        <v>3839303.0550000002</v>
      </c>
      <c r="E13" s="9">
        <v>3829789.9010000001</v>
      </c>
      <c r="F13" s="9">
        <v>2652598.3450000002</v>
      </c>
      <c r="G13" s="9">
        <v>2718735.0789999999</v>
      </c>
      <c r="H13" s="9">
        <v>341391.07799999998</v>
      </c>
      <c r="I13" s="9">
        <v>312943.83299999998</v>
      </c>
      <c r="J13" s="9">
        <v>319686.11</v>
      </c>
      <c r="L13" s="10">
        <f t="shared" ref="L13:T13" si="8">IFERROR(B13/B16,"")</f>
        <v>0.29979812296078834</v>
      </c>
      <c r="M13" s="10">
        <f t="shared" si="8"/>
        <v>0.25924568211983501</v>
      </c>
      <c r="N13" s="10">
        <f t="shared" si="8"/>
        <v>0.25924568215555599</v>
      </c>
      <c r="O13" s="10">
        <f t="shared" si="8"/>
        <v>0.2895996209213389</v>
      </c>
      <c r="P13" s="10">
        <f t="shared" si="8"/>
        <v>0.28959954524698517</v>
      </c>
      <c r="Q13" s="10">
        <f t="shared" si="8"/>
        <v>0.31028796095717287</v>
      </c>
      <c r="R13" s="10">
        <f t="shared" si="8"/>
        <v>0.13841908870688568</v>
      </c>
      <c r="S13" s="10">
        <f t="shared" si="8"/>
        <v>0.17704587899308485</v>
      </c>
      <c r="T13" s="10">
        <f t="shared" si="8"/>
        <v>0.19726177529341513</v>
      </c>
    </row>
    <row r="14" spans="1:20" ht="15" customHeight="1" x14ac:dyDescent="0.2">
      <c r="A14" s="8" t="s">
        <v>23</v>
      </c>
      <c r="B14" s="9">
        <v>563744.17700000003</v>
      </c>
      <c r="C14" s="9">
        <v>572109.76599999995</v>
      </c>
      <c r="D14" s="9">
        <v>437084.26</v>
      </c>
      <c r="E14" s="9">
        <v>1493715.355</v>
      </c>
      <c r="F14" s="9">
        <v>1034581.705</v>
      </c>
      <c r="G14" s="9">
        <v>388709.533</v>
      </c>
      <c r="H14" s="9">
        <v>323983.84000000003</v>
      </c>
      <c r="I14" s="9">
        <v>184866.758</v>
      </c>
      <c r="J14" s="9">
        <v>279775.43599999999</v>
      </c>
      <c r="L14" s="10">
        <f t="shared" ref="L14:T14" si="9">IFERROR(B14/B16,"")</f>
        <v>2.7717922790251776E-2</v>
      </c>
      <c r="M14" s="10">
        <f t="shared" si="9"/>
        <v>2.951374397219263E-2</v>
      </c>
      <c r="N14" s="10">
        <f t="shared" si="9"/>
        <v>2.9513743906094535E-2</v>
      </c>
      <c r="O14" s="10">
        <f t="shared" si="9"/>
        <v>0.11295120927114877</v>
      </c>
      <c r="P14" s="10">
        <f t="shared" si="9"/>
        <v>0.11295128486135375</v>
      </c>
      <c r="Q14" s="10">
        <f t="shared" si="9"/>
        <v>4.4363236907785861E-2</v>
      </c>
      <c r="R14" s="10">
        <f t="shared" si="9"/>
        <v>0.13136121819960819</v>
      </c>
      <c r="S14" s="10">
        <f t="shared" si="9"/>
        <v>0.10458713102907481</v>
      </c>
      <c r="T14" s="10">
        <f t="shared" si="9"/>
        <v>0.17263496117754143</v>
      </c>
    </row>
    <row r="15" spans="1:20" ht="15" customHeight="1" x14ac:dyDescent="0.2">
      <c r="A15" s="6" t="s">
        <v>24</v>
      </c>
      <c r="B15" s="11">
        <f t="shared" ref="B15:J15" si="10">SUM(B12:B14)</f>
        <v>18148684.770000003</v>
      </c>
      <c r="C15" s="11">
        <f t="shared" si="10"/>
        <v>17267417.342999998</v>
      </c>
      <c r="D15" s="11">
        <f t="shared" si="10"/>
        <v>13192077.459999999</v>
      </c>
      <c r="E15" s="11">
        <f t="shared" si="10"/>
        <v>12753158.470000001</v>
      </c>
      <c r="F15" s="11">
        <f t="shared" si="10"/>
        <v>8833125.7740000002</v>
      </c>
      <c r="G15" s="11">
        <f t="shared" si="10"/>
        <v>7256209.2989999996</v>
      </c>
      <c r="H15" s="11">
        <f t="shared" si="10"/>
        <v>1558052.3230000001</v>
      </c>
      <c r="I15" s="11">
        <f t="shared" si="10"/>
        <v>1378495.3159999999</v>
      </c>
      <c r="J15" s="11">
        <f t="shared" si="10"/>
        <v>1449123.5449999999</v>
      </c>
      <c r="L15" s="12">
        <f t="shared" ref="L15:T15" si="11">IFERROR(B15/B16,"")</f>
        <v>0.89232645537282129</v>
      </c>
      <c r="M15" s="12">
        <f t="shared" si="11"/>
        <v>0.89078384046026005</v>
      </c>
      <c r="N15" s="12">
        <f t="shared" si="11"/>
        <v>0.89078384049748671</v>
      </c>
      <c r="O15" s="12">
        <f t="shared" si="11"/>
        <v>0.96436356926456945</v>
      </c>
      <c r="P15" s="12">
        <f t="shared" si="11"/>
        <v>0.96436356905735154</v>
      </c>
      <c r="Q15" s="12">
        <f t="shared" si="11"/>
        <v>0.82814776807651835</v>
      </c>
      <c r="R15" s="12">
        <f t="shared" si="11"/>
        <v>0.63172178948187485</v>
      </c>
      <c r="S15" s="12">
        <f t="shared" si="11"/>
        <v>0.77987449878608173</v>
      </c>
      <c r="T15" s="12">
        <f t="shared" si="11"/>
        <v>0.89417924071267008</v>
      </c>
    </row>
    <row r="16" spans="1:20" ht="15" customHeight="1" x14ac:dyDescent="0.2">
      <c r="A16" s="6" t="s">
        <v>25</v>
      </c>
      <c r="B16" s="11">
        <f t="shared" ref="B16:J16" si="12">B10+B15</f>
        <v>20338615.605000004</v>
      </c>
      <c r="C16" s="11">
        <f t="shared" si="12"/>
        <v>19384520.192999996</v>
      </c>
      <c r="D16" s="11">
        <f t="shared" si="12"/>
        <v>14809515.911999999</v>
      </c>
      <c r="E16" s="11">
        <f t="shared" si="12"/>
        <v>13224429.952000001</v>
      </c>
      <c r="F16" s="11">
        <f t="shared" si="12"/>
        <v>9159539.0549999997</v>
      </c>
      <c r="G16" s="11">
        <f t="shared" si="12"/>
        <v>8761974.1050000004</v>
      </c>
      <c r="H16" s="11">
        <f t="shared" si="12"/>
        <v>2466358.37</v>
      </c>
      <c r="I16" s="11">
        <f t="shared" si="12"/>
        <v>1767586.0899999999</v>
      </c>
      <c r="J16" s="11">
        <f t="shared" si="12"/>
        <v>1620618.64</v>
      </c>
      <c r="L16" s="12">
        <f t="shared" ref="L16:T16" si="13">IFERROR(B16/B16,"")</f>
        <v>1</v>
      </c>
      <c r="M16" s="12">
        <f t="shared" si="13"/>
        <v>1</v>
      </c>
      <c r="N16" s="12">
        <f t="shared" si="13"/>
        <v>1</v>
      </c>
      <c r="O16" s="12">
        <f t="shared" si="13"/>
        <v>1</v>
      </c>
      <c r="P16" s="12">
        <f t="shared" si="13"/>
        <v>1</v>
      </c>
      <c r="Q16" s="12">
        <f t="shared" si="13"/>
        <v>1</v>
      </c>
      <c r="R16" s="12">
        <f t="shared" si="13"/>
        <v>1</v>
      </c>
      <c r="S16" s="12">
        <f t="shared" si="13"/>
        <v>1</v>
      </c>
      <c r="T16" s="12">
        <f t="shared" si="13"/>
        <v>1</v>
      </c>
    </row>
    <row r="17" spans="1:20" ht="15" customHeight="1" x14ac:dyDescent="0.2">
      <c r="A17" s="255" t="s">
        <v>26</v>
      </c>
      <c r="B17" s="255"/>
      <c r="C17" s="255"/>
      <c r="D17" s="255"/>
      <c r="E17" s="255"/>
      <c r="F17" s="255"/>
      <c r="G17" s="255"/>
      <c r="H17" s="255"/>
      <c r="I17" s="255"/>
      <c r="J17" s="255"/>
    </row>
    <row r="18" spans="1:20" ht="15" customHeight="1" x14ac:dyDescent="0.2">
      <c r="A18" s="255" t="s">
        <v>27</v>
      </c>
      <c r="B18" s="255"/>
      <c r="C18" s="255"/>
      <c r="D18" s="255"/>
      <c r="E18" s="255"/>
      <c r="F18" s="255"/>
      <c r="G18" s="255"/>
      <c r="H18" s="255"/>
      <c r="I18" s="255"/>
      <c r="J18" s="255"/>
    </row>
    <row r="19" spans="1:20" ht="15" customHeight="1" x14ac:dyDescent="0.2">
      <c r="A19" s="8" t="s">
        <v>28</v>
      </c>
      <c r="B19" s="9">
        <v>707962.99</v>
      </c>
      <c r="C19" s="9">
        <v>735797.54799999995</v>
      </c>
      <c r="D19" s="9">
        <v>562139.55000000005</v>
      </c>
      <c r="E19" s="9">
        <v>118107.893</v>
      </c>
      <c r="F19" s="9">
        <v>118108.893</v>
      </c>
      <c r="G19" s="9">
        <v>112506.02899999999</v>
      </c>
      <c r="H19" s="9">
        <v>68279.441999999995</v>
      </c>
      <c r="I19" s="9">
        <v>249449.80100000001</v>
      </c>
      <c r="J19" s="9">
        <v>123620.11</v>
      </c>
      <c r="L19" s="10">
        <f t="shared" ref="L19:T19" si="14">IFERROR(B19/B16,"")</f>
        <v>3.480880920065945E-2</v>
      </c>
      <c r="M19" s="10">
        <f t="shared" si="14"/>
        <v>3.7957996415392631E-2</v>
      </c>
      <c r="N19" s="10">
        <f t="shared" si="14"/>
        <v>3.7957996287002478E-2</v>
      </c>
      <c r="O19" s="10">
        <f t="shared" si="14"/>
        <v>8.9310384968342548E-3</v>
      </c>
      <c r="P19" s="10">
        <f t="shared" si="14"/>
        <v>1.2894632829315449E-2</v>
      </c>
      <c r="Q19" s="10">
        <f t="shared" si="14"/>
        <v>1.2840260385590354E-2</v>
      </c>
      <c r="R19" s="10">
        <f t="shared" si="14"/>
        <v>2.7684314992715349E-2</v>
      </c>
      <c r="S19" s="10">
        <f t="shared" si="14"/>
        <v>0.14112455535334067</v>
      </c>
      <c r="T19" s="10">
        <f t="shared" si="14"/>
        <v>7.6279580494026653E-2</v>
      </c>
    </row>
    <row r="20" spans="1:20" ht="15" customHeight="1" x14ac:dyDescent="0.2">
      <c r="A20" s="8" t="s">
        <v>29</v>
      </c>
      <c r="B20" s="9">
        <v>61033.760999999999</v>
      </c>
      <c r="C20" s="9">
        <v>181188.87899999999</v>
      </c>
      <c r="D20" s="9">
        <v>138425.89600000001</v>
      </c>
      <c r="E20" s="9">
        <v>101813.208</v>
      </c>
      <c r="F20" s="9">
        <v>70335.327999999994</v>
      </c>
      <c r="G20" s="9">
        <v>45170.595999999998</v>
      </c>
      <c r="H20" s="9">
        <v>17469.687999999998</v>
      </c>
      <c r="I20" s="9">
        <v>8873.7939999999999</v>
      </c>
      <c r="J20" s="9">
        <v>7050.3919999999998</v>
      </c>
      <c r="L20" s="10">
        <f t="shared" ref="L20:T20" si="15">IFERROR(B20/B16,"")</f>
        <v>3.0008807966750493E-3</v>
      </c>
      <c r="M20" s="10">
        <f t="shared" si="15"/>
        <v>9.3470912457987824E-3</v>
      </c>
      <c r="N20" s="10">
        <f t="shared" si="15"/>
        <v>9.3470912096346725E-3</v>
      </c>
      <c r="O20" s="10">
        <f t="shared" si="15"/>
        <v>7.698873098465937E-3</v>
      </c>
      <c r="P20" s="10">
        <f t="shared" si="15"/>
        <v>7.6789156722472203E-3</v>
      </c>
      <c r="Q20" s="10">
        <f t="shared" si="15"/>
        <v>5.1552989610210674E-3</v>
      </c>
      <c r="R20" s="10">
        <f t="shared" si="15"/>
        <v>7.0831912395602093E-3</v>
      </c>
      <c r="S20" s="10">
        <f t="shared" si="15"/>
        <v>5.0202895633784947E-3</v>
      </c>
      <c r="T20" s="10">
        <f t="shared" si="15"/>
        <v>4.3504324990362945E-3</v>
      </c>
    </row>
    <row r="21" spans="1:20" ht="15" customHeight="1" x14ac:dyDescent="0.2">
      <c r="A21" s="8" t="s">
        <v>30</v>
      </c>
      <c r="B21" s="9">
        <v>116612.05</v>
      </c>
      <c r="C21" s="9">
        <v>139222.61199999999</v>
      </c>
      <c r="D21" s="9">
        <v>106364.227</v>
      </c>
      <c r="E21" s="9">
        <v>343970.98200000002</v>
      </c>
      <c r="F21" s="9">
        <v>202120.179</v>
      </c>
      <c r="G21" s="9">
        <v>19145.416000000001</v>
      </c>
      <c r="H21" s="9">
        <v>21563.432000000001</v>
      </c>
      <c r="I21" s="9">
        <v>29723.446</v>
      </c>
      <c r="J21" s="9">
        <v>171823.448</v>
      </c>
    </row>
    <row r="22" spans="1:20" ht="15" customHeight="1" x14ac:dyDescent="0.2">
      <c r="A22" s="6" t="s">
        <v>31</v>
      </c>
      <c r="B22" s="11">
        <f t="shared" ref="B22:J22" si="16">SUM(B19:B21)</f>
        <v>885608.80099999998</v>
      </c>
      <c r="C22" s="11">
        <f t="shared" si="16"/>
        <v>1056209.0389999999</v>
      </c>
      <c r="D22" s="11">
        <f t="shared" si="16"/>
        <v>806929.67299999995</v>
      </c>
      <c r="E22" s="11">
        <f t="shared" si="16"/>
        <v>563892.08299999998</v>
      </c>
      <c r="F22" s="11">
        <f t="shared" si="16"/>
        <v>390564.4</v>
      </c>
      <c r="G22" s="11">
        <f t="shared" si="16"/>
        <v>176822.041</v>
      </c>
      <c r="H22" s="11">
        <f t="shared" si="16"/>
        <v>107312.56199999999</v>
      </c>
      <c r="I22" s="11">
        <f t="shared" si="16"/>
        <v>288047.04100000003</v>
      </c>
      <c r="J22" s="11">
        <f t="shared" si="16"/>
        <v>302493.95</v>
      </c>
      <c r="L22" s="12">
        <f t="shared" ref="L22:T22" si="17">IFERROR(B22/B16,"")</f>
        <v>4.3543219371444522E-2</v>
      </c>
      <c r="M22" s="12">
        <f t="shared" si="17"/>
        <v>5.448724180345773E-2</v>
      </c>
      <c r="N22" s="12">
        <f t="shared" si="17"/>
        <v>5.4487241702894089E-2</v>
      </c>
      <c r="O22" s="12">
        <f t="shared" si="17"/>
        <v>4.2640180714535791E-2</v>
      </c>
      <c r="P22" s="12">
        <f t="shared" si="17"/>
        <v>4.2640180652627833E-2</v>
      </c>
      <c r="Q22" s="12">
        <f t="shared" si="17"/>
        <v>2.0180616705897009E-2</v>
      </c>
      <c r="R22" s="12">
        <f t="shared" si="17"/>
        <v>4.351053087228357E-2</v>
      </c>
      <c r="S22" s="12">
        <f t="shared" si="17"/>
        <v>0.16296068555280385</v>
      </c>
      <c r="T22" s="12">
        <f t="shared" si="17"/>
        <v>0.18665338194555137</v>
      </c>
    </row>
    <row r="23" spans="1:20" ht="15" customHeight="1" x14ac:dyDescent="0.2">
      <c r="A23" s="255" t="s">
        <v>32</v>
      </c>
      <c r="B23" s="255"/>
      <c r="C23" s="255"/>
      <c r="D23" s="255"/>
      <c r="E23" s="255"/>
      <c r="F23" s="255"/>
      <c r="G23" s="255"/>
      <c r="H23" s="255"/>
      <c r="I23" s="255"/>
      <c r="J23" s="255"/>
    </row>
    <row r="24" spans="1:20" ht="15" customHeight="1" x14ac:dyDescent="0.2">
      <c r="A24" s="8" t="s">
        <v>33</v>
      </c>
      <c r="B24" s="9">
        <v>2624731.0109999999</v>
      </c>
      <c r="C24" s="9">
        <v>2263656.625</v>
      </c>
      <c r="D24" s="9">
        <v>1729403.59</v>
      </c>
      <c r="E24" s="9">
        <v>946201.18</v>
      </c>
      <c r="F24" s="9">
        <v>655437.57499999995</v>
      </c>
      <c r="G24" s="9">
        <v>755803.87199999997</v>
      </c>
      <c r="H24" s="9">
        <v>458341.85100000002</v>
      </c>
      <c r="I24" s="9">
        <v>398374.88699999999</v>
      </c>
      <c r="J24" s="9">
        <v>292951.92200000002</v>
      </c>
      <c r="L24" s="10">
        <f t="shared" ref="L24:T24" si="18">IFERROR(B24/B16,"")</f>
        <v>0.12905160616510897</v>
      </c>
      <c r="M24" s="10">
        <f t="shared" si="18"/>
        <v>0.11677651045587582</v>
      </c>
      <c r="N24" s="10">
        <f t="shared" si="18"/>
        <v>0.11677651047315342</v>
      </c>
      <c r="O24" s="10">
        <f t="shared" si="18"/>
        <v>7.1549487080681387E-2</v>
      </c>
      <c r="P24" s="10">
        <f t="shared" si="18"/>
        <v>7.1557921317253442E-2</v>
      </c>
      <c r="Q24" s="10">
        <f t="shared" si="18"/>
        <v>8.625954185012967E-2</v>
      </c>
      <c r="R24" s="10">
        <f t="shared" si="18"/>
        <v>0.18583749084282508</v>
      </c>
      <c r="S24" s="10">
        <f t="shared" si="18"/>
        <v>0.22537792600529008</v>
      </c>
      <c r="T24" s="10">
        <f t="shared" si="18"/>
        <v>0.1807654896527662</v>
      </c>
    </row>
    <row r="25" spans="1:20" ht="15" customHeight="1" x14ac:dyDescent="0.2">
      <c r="A25" s="8" t="s">
        <v>34</v>
      </c>
      <c r="B25" s="9">
        <v>2699075.1189999999</v>
      </c>
      <c r="C25" s="9">
        <v>2377697.2689999999</v>
      </c>
      <c r="D25" s="9">
        <v>1816529.128</v>
      </c>
      <c r="E25" s="9">
        <v>1560473.551</v>
      </c>
      <c r="F25" s="9">
        <v>1080741.9939999999</v>
      </c>
      <c r="G25" s="9">
        <v>888643.71299999999</v>
      </c>
      <c r="H25" s="9">
        <v>10466.605</v>
      </c>
      <c r="I25" s="9">
        <v>83477.476999999999</v>
      </c>
      <c r="J25" s="9">
        <v>97935.404999999999</v>
      </c>
    </row>
    <row r="26" spans="1:20" ht="15" customHeight="1" x14ac:dyDescent="0.2">
      <c r="A26" s="6" t="s">
        <v>35</v>
      </c>
      <c r="B26" s="11">
        <f t="shared" ref="B26:J26" si="19">SUM(B24:B25)</f>
        <v>5323806.13</v>
      </c>
      <c r="C26" s="11">
        <f t="shared" si="19"/>
        <v>4641353.8939999994</v>
      </c>
      <c r="D26" s="11">
        <f t="shared" si="19"/>
        <v>3545932.7180000003</v>
      </c>
      <c r="E26" s="11">
        <f t="shared" si="19"/>
        <v>2506674.7310000001</v>
      </c>
      <c r="F26" s="11">
        <f t="shared" si="19"/>
        <v>1736179.5689999999</v>
      </c>
      <c r="G26" s="11">
        <f t="shared" si="19"/>
        <v>1644447.585</v>
      </c>
      <c r="H26" s="11">
        <f t="shared" si="19"/>
        <v>468808.45600000001</v>
      </c>
      <c r="I26" s="11">
        <f t="shared" si="19"/>
        <v>481852.364</v>
      </c>
      <c r="J26" s="11">
        <f t="shared" si="19"/>
        <v>390887.32700000005</v>
      </c>
      <c r="L26" s="12">
        <f t="shared" ref="L26:T26" si="20">IFERROR(B26/B16,"")</f>
        <v>0.26175853034417967</v>
      </c>
      <c r="M26" s="12">
        <f t="shared" si="20"/>
        <v>0.23943609889689471</v>
      </c>
      <c r="N26" s="12">
        <f t="shared" si="20"/>
        <v>0.23943609899677865</v>
      </c>
      <c r="O26" s="12">
        <f t="shared" si="20"/>
        <v>0.18954879265861302</v>
      </c>
      <c r="P26" s="12">
        <f t="shared" si="20"/>
        <v>0.18954879263845226</v>
      </c>
      <c r="Q26" s="12">
        <f t="shared" si="20"/>
        <v>0.18768003252390345</v>
      </c>
      <c r="R26" s="12">
        <f t="shared" si="20"/>
        <v>0.19008123949156666</v>
      </c>
      <c r="S26" s="12">
        <f t="shared" si="20"/>
        <v>0.27260474990499617</v>
      </c>
      <c r="T26" s="12">
        <f t="shared" si="20"/>
        <v>0.24119636622222243</v>
      </c>
    </row>
    <row r="27" spans="1:20" ht="15" customHeight="1" x14ac:dyDescent="0.2">
      <c r="A27" s="6" t="s">
        <v>36</v>
      </c>
      <c r="B27" s="11">
        <f t="shared" ref="B27:J27" si="21">B22+B26</f>
        <v>6209414.9309999999</v>
      </c>
      <c r="C27" s="11">
        <f t="shared" si="21"/>
        <v>5697562.9329999993</v>
      </c>
      <c r="D27" s="11">
        <f t="shared" si="21"/>
        <v>4352862.3910000008</v>
      </c>
      <c r="E27" s="11">
        <f t="shared" si="21"/>
        <v>3070566.8140000002</v>
      </c>
      <c r="F27" s="11">
        <f t="shared" si="21"/>
        <v>2126743.969</v>
      </c>
      <c r="G27" s="11">
        <f t="shared" si="21"/>
        <v>1821269.6259999999</v>
      </c>
      <c r="H27" s="11">
        <f t="shared" si="21"/>
        <v>576121.01800000004</v>
      </c>
      <c r="I27" s="11">
        <f t="shared" si="21"/>
        <v>769899.40500000003</v>
      </c>
      <c r="J27" s="11">
        <f t="shared" si="21"/>
        <v>693381.277</v>
      </c>
      <c r="L27" s="12">
        <f t="shared" ref="L27:T27" si="22">IFERROR(B27/B16,"")</f>
        <v>0.30530174971562418</v>
      </c>
      <c r="M27" s="12">
        <f t="shared" si="22"/>
        <v>0.29392334070035242</v>
      </c>
      <c r="N27" s="12">
        <f t="shared" si="22"/>
        <v>0.2939233406996728</v>
      </c>
      <c r="O27" s="12">
        <f t="shared" si="22"/>
        <v>0.23218897337314884</v>
      </c>
      <c r="P27" s="12">
        <f t="shared" si="22"/>
        <v>0.2321889732910801</v>
      </c>
      <c r="Q27" s="12">
        <f t="shared" si="22"/>
        <v>0.20786064922980046</v>
      </c>
      <c r="R27" s="12">
        <f t="shared" si="22"/>
        <v>0.23359177036385026</v>
      </c>
      <c r="S27" s="12">
        <f t="shared" si="22"/>
        <v>0.43556543545780002</v>
      </c>
      <c r="T27" s="12">
        <f t="shared" si="22"/>
        <v>0.42784974816777377</v>
      </c>
    </row>
    <row r="28" spans="1:20" ht="15" customHeight="1" x14ac:dyDescent="0.2">
      <c r="A28" s="255" t="s">
        <v>37</v>
      </c>
      <c r="B28" s="255"/>
      <c r="C28" s="255"/>
      <c r="D28" s="255"/>
      <c r="E28" s="255"/>
      <c r="F28" s="255"/>
      <c r="G28" s="255"/>
      <c r="H28" s="255"/>
      <c r="I28" s="255"/>
      <c r="J28" s="255"/>
    </row>
    <row r="29" spans="1:20" ht="15" customHeight="1" x14ac:dyDescent="0.2">
      <c r="A29" s="8" t="s">
        <v>38</v>
      </c>
      <c r="B29" s="9">
        <v>540000</v>
      </c>
      <c r="C29" s="9">
        <v>540000</v>
      </c>
      <c r="D29" s="9">
        <v>540000</v>
      </c>
      <c r="E29" s="9">
        <v>540000</v>
      </c>
      <c r="F29" s="9">
        <v>540000</v>
      </c>
      <c r="G29" s="9">
        <v>534791.45799999998</v>
      </c>
      <c r="H29" s="9">
        <v>534791.45799999998</v>
      </c>
      <c r="I29" s="9">
        <v>534791.45799999998</v>
      </c>
      <c r="J29" s="9">
        <v>534791.45799999998</v>
      </c>
      <c r="L29" s="10">
        <f t="shared" ref="L29:T29" si="23">IFERROR(B29/B16,"")</f>
        <v>2.6550479663288759E-2</v>
      </c>
      <c r="M29" s="10">
        <f t="shared" si="23"/>
        <v>2.7857279655289124E-2</v>
      </c>
      <c r="N29" s="10">
        <f t="shared" si="23"/>
        <v>3.6463041952805732E-2</v>
      </c>
      <c r="O29" s="10">
        <f t="shared" si="23"/>
        <v>4.0833518114581031E-2</v>
      </c>
      <c r="P29" s="10">
        <f t="shared" si="23"/>
        <v>5.8954931766487237E-2</v>
      </c>
      <c r="Q29" s="10">
        <f t="shared" si="23"/>
        <v>6.1035498575009763E-2</v>
      </c>
      <c r="R29" s="10">
        <f t="shared" si="23"/>
        <v>0.21683444892073814</v>
      </c>
      <c r="S29" s="10">
        <f t="shared" si="23"/>
        <v>0.30255468801522423</v>
      </c>
      <c r="T29" s="10">
        <f t="shared" si="23"/>
        <v>0.32999216768233641</v>
      </c>
    </row>
    <row r="30" spans="1:20" ht="15" customHeight="1" x14ac:dyDescent="0.2">
      <c r="A30" s="8" t="s">
        <v>39</v>
      </c>
      <c r="B30" s="9">
        <v>4891623.8059999999</v>
      </c>
      <c r="C30" s="9">
        <v>4891623.8059999999</v>
      </c>
      <c r="D30" s="9">
        <v>3609688.4309999999</v>
      </c>
      <c r="E30" s="9">
        <v>3609688.4309999999</v>
      </c>
      <c r="F30" s="9">
        <v>2334167.9900000002</v>
      </c>
      <c r="G30" s="9">
        <v>2332832.1359999999</v>
      </c>
      <c r="H30" s="9">
        <v>0</v>
      </c>
      <c r="I30" s="9">
        <v>0</v>
      </c>
      <c r="J30" s="9">
        <v>0</v>
      </c>
      <c r="L30" s="10">
        <f t="shared" ref="L30:T30" si="24">IFERROR(B30/B16,"")</f>
        <v>0.24050918218826325</v>
      </c>
      <c r="M30" s="10">
        <f t="shared" si="24"/>
        <v>0.25234691172631807</v>
      </c>
      <c r="N30" s="10">
        <f t="shared" si="24"/>
        <v>0.24374114943724165</v>
      </c>
      <c r="O30" s="10">
        <f t="shared" si="24"/>
        <v>0.27295607025042978</v>
      </c>
      <c r="P30" s="10">
        <f t="shared" si="24"/>
        <v>0.25483465663327531</v>
      </c>
      <c r="Q30" s="10">
        <f t="shared" si="24"/>
        <v>0.26624503885132172</v>
      </c>
      <c r="R30" s="10">
        <f t="shared" si="24"/>
        <v>0</v>
      </c>
      <c r="S30" s="10">
        <f t="shared" si="24"/>
        <v>0</v>
      </c>
      <c r="T30" s="10">
        <f t="shared" si="24"/>
        <v>0</v>
      </c>
    </row>
    <row r="31" spans="1:20" ht="15" customHeight="1" x14ac:dyDescent="0.2">
      <c r="A31" s="8" t="s">
        <v>40</v>
      </c>
      <c r="B31" s="9">
        <v>592655.15300000005</v>
      </c>
      <c r="C31" s="9">
        <v>532059.71900000004</v>
      </c>
      <c r="D31" s="9">
        <v>406486.55699999997</v>
      </c>
      <c r="E31" s="9">
        <v>165439.94</v>
      </c>
      <c r="F31" s="9">
        <v>114586.75</v>
      </c>
      <c r="G31" s="9">
        <v>170048.52600000001</v>
      </c>
      <c r="H31" s="9">
        <v>44966.711000000003</v>
      </c>
      <c r="I31" s="9">
        <v>29794.936000000002</v>
      </c>
      <c r="J31" s="9">
        <v>19975.93</v>
      </c>
    </row>
    <row r="32" spans="1:20" ht="15" customHeight="1" x14ac:dyDescent="0.2">
      <c r="A32" s="8" t="s">
        <v>41</v>
      </c>
      <c r="B32" s="9">
        <v>8104921.7149999999</v>
      </c>
      <c r="C32" s="9">
        <v>7723273.7350000003</v>
      </c>
      <c r="D32" s="9">
        <v>5900478.5329999998</v>
      </c>
      <c r="E32" s="9">
        <v>5838734.767</v>
      </c>
      <c r="F32" s="9">
        <v>4044040.3459999999</v>
      </c>
      <c r="G32" s="9">
        <v>3903032.3590000002</v>
      </c>
      <c r="H32" s="9">
        <v>1310479.183</v>
      </c>
      <c r="I32" s="9">
        <v>433100.29100000003</v>
      </c>
      <c r="J32" s="9">
        <v>372469.97499999998</v>
      </c>
    </row>
    <row r="33" spans="1:20" ht="15" customHeight="1" x14ac:dyDescent="0.2">
      <c r="A33" s="6" t="s">
        <v>42</v>
      </c>
      <c r="B33" s="11">
        <f t="shared" ref="B33:J33" si="25">SUM(B29:B32)</f>
        <v>14129200.673999999</v>
      </c>
      <c r="C33" s="11">
        <f t="shared" si="25"/>
        <v>13686957.260000002</v>
      </c>
      <c r="D33" s="11">
        <f t="shared" si="25"/>
        <v>10456653.521</v>
      </c>
      <c r="E33" s="11">
        <f t="shared" si="25"/>
        <v>10153863.138</v>
      </c>
      <c r="F33" s="11">
        <f t="shared" si="25"/>
        <v>7032795.0860000001</v>
      </c>
      <c r="G33" s="11">
        <f t="shared" si="25"/>
        <v>6940704.4790000003</v>
      </c>
      <c r="H33" s="11">
        <f t="shared" si="25"/>
        <v>1890237.352</v>
      </c>
      <c r="I33" s="11">
        <f t="shared" si="25"/>
        <v>997686.68500000006</v>
      </c>
      <c r="J33" s="11">
        <f t="shared" si="25"/>
        <v>927237.36300000001</v>
      </c>
      <c r="L33" s="12">
        <f t="shared" ref="L33:T33" si="26">IFERROR(B33/B16,"")</f>
        <v>0.69469825028437548</v>
      </c>
      <c r="M33" s="12">
        <f t="shared" si="26"/>
        <v>0.7060766592996478</v>
      </c>
      <c r="N33" s="12">
        <f t="shared" si="26"/>
        <v>0.70607665930032737</v>
      </c>
      <c r="O33" s="12">
        <f t="shared" si="26"/>
        <v>0.76781102662685108</v>
      </c>
      <c r="P33" s="12">
        <f t="shared" si="26"/>
        <v>0.76781102670891999</v>
      </c>
      <c r="Q33" s="12">
        <f t="shared" si="26"/>
        <v>0.79213935077019948</v>
      </c>
      <c r="R33" s="12">
        <f t="shared" si="26"/>
        <v>0.76640822963614974</v>
      </c>
      <c r="S33" s="12">
        <f t="shared" si="26"/>
        <v>0.56443456454220009</v>
      </c>
      <c r="T33" s="12">
        <f t="shared" si="26"/>
        <v>0.57215025183222623</v>
      </c>
    </row>
    <row r="34" spans="1:20" ht="15" customHeight="1" x14ac:dyDescent="0.2">
      <c r="A34" s="6" t="s">
        <v>43</v>
      </c>
      <c r="B34" s="11">
        <f t="shared" ref="B34:J34" si="27">B27+B33</f>
        <v>20338615.604999997</v>
      </c>
      <c r="C34" s="11">
        <f t="shared" si="27"/>
        <v>19384520.193</v>
      </c>
      <c r="D34" s="11">
        <f t="shared" si="27"/>
        <v>14809515.912</v>
      </c>
      <c r="E34" s="11">
        <f t="shared" si="27"/>
        <v>13224429.952</v>
      </c>
      <c r="F34" s="11">
        <f t="shared" si="27"/>
        <v>9159539.0549999997</v>
      </c>
      <c r="G34" s="11">
        <f t="shared" si="27"/>
        <v>8761974.1050000004</v>
      </c>
      <c r="H34" s="11">
        <f t="shared" si="27"/>
        <v>2466358.37</v>
      </c>
      <c r="I34" s="11">
        <f t="shared" si="27"/>
        <v>1767586.09</v>
      </c>
      <c r="J34" s="11">
        <f t="shared" si="27"/>
        <v>1620618.6400000001</v>
      </c>
      <c r="L34" s="12">
        <f t="shared" ref="L34:T34" si="28">IFERROR(B34/B16,"")</f>
        <v>0.99999999999999967</v>
      </c>
      <c r="M34" s="12">
        <f t="shared" si="28"/>
        <v>1.0000000000000002</v>
      </c>
      <c r="N34" s="12">
        <f t="shared" si="28"/>
        <v>1.0000000000000002</v>
      </c>
      <c r="O34" s="12">
        <f t="shared" si="28"/>
        <v>0.99999999999999989</v>
      </c>
      <c r="P34" s="12">
        <f t="shared" si="28"/>
        <v>1</v>
      </c>
      <c r="Q34" s="12">
        <f t="shared" si="28"/>
        <v>1</v>
      </c>
      <c r="R34" s="12">
        <f t="shared" si="28"/>
        <v>1</v>
      </c>
      <c r="S34" s="12">
        <f t="shared" si="28"/>
        <v>1.0000000000000002</v>
      </c>
      <c r="T34" s="12">
        <f t="shared" si="28"/>
        <v>1.0000000000000002</v>
      </c>
    </row>
    <row r="35" spans="1:20" ht="15" customHeight="1" x14ac:dyDescent="0.2"/>
    <row r="36" spans="1:20" ht="15" customHeight="1" x14ac:dyDescent="0.2"/>
    <row r="39" spans="1:20" ht="18" customHeight="1" x14ac:dyDescent="0.2">
      <c r="L39" s="254" t="s">
        <v>44</v>
      </c>
      <c r="M39" s="254"/>
      <c r="N39" s="254"/>
      <c r="O39" s="254"/>
      <c r="P39" s="254"/>
      <c r="Q39" s="254"/>
      <c r="R39" s="254"/>
      <c r="S39" s="254"/>
      <c r="T39" s="254"/>
    </row>
    <row r="40" spans="1:20" ht="21.75" customHeight="1" x14ac:dyDescent="0.2">
      <c r="K40" s="6" t="s">
        <v>45</v>
      </c>
      <c r="L40" s="7" t="s">
        <v>46</v>
      </c>
      <c r="M40" s="7" t="s">
        <v>47</v>
      </c>
      <c r="N40" s="7" t="s">
        <v>48</v>
      </c>
      <c r="O40" s="7" t="s">
        <v>49</v>
      </c>
      <c r="P40" s="7" t="s">
        <v>50</v>
      </c>
    </row>
    <row r="41" spans="1:20" ht="27.75" customHeight="1" x14ac:dyDescent="0.2">
      <c r="K41" s="13" t="s">
        <v>51</v>
      </c>
      <c r="L41" s="10">
        <f t="shared" ref="L41:L46" si="29">IFERROR((B5-C5)/ABS(C5),"-")</f>
        <v>-0.31208159890724457</v>
      </c>
      <c r="M41" s="10">
        <f t="shared" ref="M41:M46" si="30">IFERROR((D5-E5)/ABS(E5),"-")</f>
        <v>12.835145530286248</v>
      </c>
      <c r="N41" s="10">
        <f t="shared" ref="N41:N46" si="31">IFERROR((F5-G5)/ABS(G5),"-")</f>
        <v>-0.93922311286297344</v>
      </c>
      <c r="O41" s="10">
        <f t="shared" ref="O41:P46" si="32">IFERROR((H5-I5)/ABS(I5),"-")</f>
        <v>3.1472621575020985</v>
      </c>
      <c r="P41" s="10">
        <f t="shared" si="32"/>
        <v>1.4033248707838639</v>
      </c>
    </row>
    <row r="42" spans="1:20" ht="15" customHeight="1" x14ac:dyDescent="0.2">
      <c r="K42" s="13" t="s">
        <v>52</v>
      </c>
      <c r="L42" s="10" t="str">
        <f t="shared" si="29"/>
        <v>-</v>
      </c>
      <c r="M42" s="10">
        <f t="shared" si="30"/>
        <v>-1</v>
      </c>
      <c r="N42" s="10">
        <f t="shared" si="31"/>
        <v>-0.29772184587599487</v>
      </c>
      <c r="O42" s="10" t="str">
        <f t="shared" si="32"/>
        <v>-</v>
      </c>
      <c r="P42" s="10" t="str">
        <f t="shared" si="32"/>
        <v>-</v>
      </c>
    </row>
    <row r="43" spans="1:20" ht="15" customHeight="1" x14ac:dyDescent="0.2">
      <c r="K43" s="13" t="s">
        <v>53</v>
      </c>
      <c r="L43" s="10">
        <f t="shared" si="29"/>
        <v>-1.2200022996054376E-2</v>
      </c>
      <c r="M43" s="10">
        <f t="shared" si="30"/>
        <v>0.10160651543906107</v>
      </c>
      <c r="N43" s="10">
        <f t="shared" si="31"/>
        <v>-2.2524101624109977E-3</v>
      </c>
      <c r="O43" s="10">
        <f t="shared" si="32"/>
        <v>-2.2983622453854585E-3</v>
      </c>
      <c r="P43" s="10">
        <f t="shared" si="32"/>
        <v>1.4223949639870699</v>
      </c>
    </row>
    <row r="44" spans="1:20" ht="15" customHeight="1" x14ac:dyDescent="0.2">
      <c r="K44" s="13" t="s">
        <v>54</v>
      </c>
      <c r="L44" s="10">
        <f t="shared" si="29"/>
        <v>-0.52491130368525651</v>
      </c>
      <c r="M44" s="10">
        <f t="shared" si="30"/>
        <v>0</v>
      </c>
      <c r="N44" s="10">
        <f t="shared" si="31"/>
        <v>-5.7618300521282339E-3</v>
      </c>
      <c r="O44" s="10">
        <f t="shared" si="32"/>
        <v>-1.9552778250153884E-2</v>
      </c>
      <c r="P44" s="10">
        <f t="shared" si="32"/>
        <v>-0.49847835735869023</v>
      </c>
    </row>
    <row r="45" spans="1:20" ht="15" customHeight="1" x14ac:dyDescent="0.2">
      <c r="K45" s="13" t="s">
        <v>55</v>
      </c>
      <c r="L45" s="10">
        <f t="shared" si="29"/>
        <v>-0.36093596212539986</v>
      </c>
      <c r="M45" s="10">
        <f t="shared" si="30"/>
        <v>0.72473517076093463</v>
      </c>
      <c r="N45" s="10">
        <f t="shared" si="31"/>
        <v>-0.807975011278105</v>
      </c>
      <c r="O45" s="10">
        <f t="shared" si="32"/>
        <v>-0.39329893993536186</v>
      </c>
      <c r="P45" s="10">
        <f t="shared" si="32"/>
        <v>1.1048312949252308</v>
      </c>
    </row>
    <row r="46" spans="1:20" ht="15" customHeight="1" x14ac:dyDescent="0.2">
      <c r="K46" s="14" t="s">
        <v>56</v>
      </c>
      <c r="L46" s="12">
        <f t="shared" si="29"/>
        <v>3.4399833243812572E-2</v>
      </c>
      <c r="M46" s="12">
        <f t="shared" si="30"/>
        <v>2.4320736852903821</v>
      </c>
      <c r="N46" s="12">
        <f t="shared" si="31"/>
        <v>-0.78322425939340223</v>
      </c>
      <c r="O46" s="12">
        <f t="shared" si="32"/>
        <v>1.3344322397117541</v>
      </c>
      <c r="P46" s="12">
        <f t="shared" si="32"/>
        <v>1.2688157582582753</v>
      </c>
    </row>
    <row r="47" spans="1:20" ht="15" customHeight="1" x14ac:dyDescent="0.2">
      <c r="K47" s="13" t="s">
        <v>57</v>
      </c>
      <c r="L47" s="10">
        <f>IFERROR((B12-C12)/ABS(C12),"-")</f>
        <v>-1.5637816522586917E-2</v>
      </c>
      <c r="M47" s="10">
        <f>IFERROR((D12-E12)/ABS(E12),"-")</f>
        <v>0.20001430594362057</v>
      </c>
      <c r="N47" s="10">
        <f>IFERROR((F12-G12)/ABS(G12),"-")</f>
        <v>0.24035613302548353</v>
      </c>
      <c r="O47" s="10">
        <f t="shared" ref="O47:P51" si="33">IFERROR((H12-I12)/ABS(I12),"-")</f>
        <v>1.3617449763307808E-2</v>
      </c>
      <c r="P47" s="10">
        <f t="shared" si="33"/>
        <v>3.6511843576047733E-2</v>
      </c>
    </row>
    <row r="48" spans="1:20" ht="15" customHeight="1" x14ac:dyDescent="0.2">
      <c r="K48" s="13" t="s">
        <v>58</v>
      </c>
      <c r="L48" s="10">
        <f>IFERROR((B13-C13)/ABS(C13),"-")</f>
        <v>0.21334333883909554</v>
      </c>
      <c r="M48" s="10">
        <f>IFERROR((D13-E13)/ABS(E13),"-")</f>
        <v>2.4839884813305578E-3</v>
      </c>
      <c r="N48" s="10">
        <f>IFERROR((F13-G13)/ABS(G13),"-")</f>
        <v>-2.4326288541627966E-2</v>
      </c>
      <c r="O48" s="10">
        <f t="shared" si="33"/>
        <v>9.0902078904363637E-2</v>
      </c>
      <c r="P48" s="10">
        <f t="shared" si="33"/>
        <v>-2.1090303235257866E-2</v>
      </c>
    </row>
    <row r="49" spans="11:16" ht="15" customHeight="1" x14ac:dyDescent="0.2">
      <c r="K49" s="13" t="s">
        <v>59</v>
      </c>
      <c r="L49" s="10">
        <f>IFERROR((B14-C14)/ABS(C14),"-")</f>
        <v>-1.4622349585970747E-2</v>
      </c>
      <c r="M49" s="10">
        <f>IFERROR((D14-E14)/ABS(E14),"-")</f>
        <v>-0.70738450365598604</v>
      </c>
      <c r="N49" s="10">
        <f>IFERROR((F14-G14)/ABS(G14),"-")</f>
        <v>1.661580478912515</v>
      </c>
      <c r="O49" s="10">
        <f t="shared" si="33"/>
        <v>0.7525262167468747</v>
      </c>
      <c r="P49" s="10">
        <f t="shared" si="33"/>
        <v>-0.33923163290146741</v>
      </c>
    </row>
    <row r="50" spans="11:16" ht="15" customHeight="1" x14ac:dyDescent="0.2">
      <c r="K50" s="14" t="s">
        <v>60</v>
      </c>
      <c r="L50" s="12">
        <f>IFERROR((B15-C15)/ABS(C15),"-")</f>
        <v>5.1036435240691042E-2</v>
      </c>
      <c r="M50" s="12">
        <f>IFERROR((D15-E15)/ABS(E15),"-")</f>
        <v>3.4416493061894676E-2</v>
      </c>
      <c r="N50" s="12">
        <f>IFERROR((F15-G15)/ABS(G15),"-")</f>
        <v>0.21731959622737457</v>
      </c>
      <c r="O50" s="12">
        <f t="shared" si="33"/>
        <v>0.13025579769180748</v>
      </c>
      <c r="P50" s="12">
        <f t="shared" si="33"/>
        <v>-4.8738583569146308E-2</v>
      </c>
    </row>
    <row r="51" spans="11:16" ht="15" customHeight="1" x14ac:dyDescent="0.2">
      <c r="K51" s="14" t="s">
        <v>61</v>
      </c>
      <c r="L51" s="12">
        <f>IFERROR((B16-C16)/ABS(C16),"-")</f>
        <v>4.9219449462800956E-2</v>
      </c>
      <c r="M51" s="12">
        <f>IFERROR((D16-E16)/ABS(E16),"-")</f>
        <v>0.11986043752005175</v>
      </c>
      <c r="N51" s="12">
        <f>IFERROR((F16-G16)/ABS(G16),"-")</f>
        <v>4.5373901501618193E-2</v>
      </c>
      <c r="O51" s="12">
        <f t="shared" si="33"/>
        <v>0.3953257405414411</v>
      </c>
      <c r="P51" s="12">
        <f t="shared" si="33"/>
        <v>9.0686017285349724E-2</v>
      </c>
    </row>
    <row r="52" spans="11:16" ht="15" customHeight="1" x14ac:dyDescent="0.2">
      <c r="K52" s="13" t="s">
        <v>62</v>
      </c>
      <c r="L52" s="10">
        <f>IFERROR((B19-C19)/ABS(C19),"-")</f>
        <v>-3.7829098609608251E-2</v>
      </c>
      <c r="M52" s="10">
        <f>IFERROR((D19-E19)/ABS(E19),"-")</f>
        <v>3.7595426158351675</v>
      </c>
      <c r="N52" s="10">
        <f>IFERROR((F19-G19)/ABS(G19),"-")</f>
        <v>4.9800566687852807E-2</v>
      </c>
      <c r="O52" s="10">
        <f>IFERROR((H19-I19)/ABS(I19),"-")</f>
        <v>-0.72627982974418159</v>
      </c>
      <c r="P52" s="10">
        <f>IFERROR((I19-J19)/ABS(J19),"-")</f>
        <v>1.0178739607981258</v>
      </c>
    </row>
    <row r="53" spans="11:16" ht="15" customHeight="1" x14ac:dyDescent="0.2">
      <c r="K53" s="13" t="s">
        <v>63</v>
      </c>
      <c r="L53" s="10">
        <f>IFERROR((B20-C20)/ABS(C20),"-")</f>
        <v>-0.66314841541682035</v>
      </c>
      <c r="M53" s="10">
        <f>IFERROR((D20-E20)/ABS(E20),"-")</f>
        <v>0.35960646677590208</v>
      </c>
      <c r="N53" s="10">
        <f>IFERROR((F20-G20)/ABS(G20),"-")</f>
        <v>0.55710427199145207</v>
      </c>
      <c r="O53" s="10">
        <f>IFERROR((H20-I20)/ABS(I20),"-")</f>
        <v>0.96868306836962847</v>
      </c>
      <c r="P53" s="10">
        <f>IFERROR((I20-J20)/ABS(J20),"-")</f>
        <v>0.25862420132100455</v>
      </c>
    </row>
    <row r="54" spans="11:16" ht="15" customHeight="1" x14ac:dyDescent="0.2">
      <c r="K54" s="14" t="s">
        <v>64</v>
      </c>
      <c r="L54" s="12">
        <f>IFERROR((B22-C22)/ABS(C22),"-")</f>
        <v>-0.16152128196282167</v>
      </c>
      <c r="M54" s="12">
        <f>IFERROR((D22-E22)/ABS(E22),"-")</f>
        <v>0.43100018128823414</v>
      </c>
      <c r="N54" s="12">
        <f>IFERROR((F22-G22)/ABS(G22),"-")</f>
        <v>1.2087992978205699</v>
      </c>
      <c r="O54" s="12">
        <f>IFERROR((H22-I22)/ABS(I22),"-")</f>
        <v>-0.62744778898804943</v>
      </c>
      <c r="P54" s="12">
        <f>IFERROR((I22-J22)/ABS(J22),"-")</f>
        <v>-4.7759332046145006E-2</v>
      </c>
    </row>
    <row r="55" spans="11:16" ht="15" customHeight="1" x14ac:dyDescent="0.2">
      <c r="K55" s="13" t="s">
        <v>65</v>
      </c>
      <c r="L55" s="10">
        <f>IFERROR((B24-C24)/ABS(C24),"-")</f>
        <v>0.15950934519496743</v>
      </c>
      <c r="M55" s="10">
        <f>IFERROR((D24-E24)/ABS(E24),"-")</f>
        <v>0.82773349532284457</v>
      </c>
      <c r="N55" s="10">
        <f>IFERROR((F24-G24)/ABS(G24),"-")</f>
        <v>-0.13279410270075995</v>
      </c>
      <c r="O55" s="10">
        <f>IFERROR((H24-I24)/ABS(I24),"-")</f>
        <v>0.1505289764914324</v>
      </c>
      <c r="P55" s="10">
        <f>IFERROR((I24-J24)/ABS(J24),"-")</f>
        <v>0.35986439099040957</v>
      </c>
    </row>
    <row r="56" spans="11:16" ht="15" customHeight="1" x14ac:dyDescent="0.2">
      <c r="K56" s="14" t="s">
        <v>66</v>
      </c>
      <c r="L56" s="12">
        <f>IFERROR((B26-C26)/ABS(C26),"-")</f>
        <v>0.14703731962396241</v>
      </c>
      <c r="M56" s="12">
        <f>IFERROR((D26-E26)/ABS(E26),"-")</f>
        <v>0.41459626737666272</v>
      </c>
      <c r="N56" s="12">
        <f>IFERROR((F26-G26)/ABS(G26),"-")</f>
        <v>5.5782856709294226E-2</v>
      </c>
      <c r="O56" s="12">
        <f>IFERROR((H26-I26)/ABS(I26),"-")</f>
        <v>-2.707034140440576E-2</v>
      </c>
      <c r="P56" s="12">
        <f>IFERROR((I26-J26)/ABS(J26),"-")</f>
        <v>0.23271421383277524</v>
      </c>
    </row>
    <row r="57" spans="11:16" ht="15" customHeight="1" x14ac:dyDescent="0.2">
      <c r="K57" s="14" t="s">
        <v>67</v>
      </c>
      <c r="L57" s="12">
        <f>IFERROR((B27-C27)/ABS(C27),"-")</f>
        <v>8.9837006456809712E-2</v>
      </c>
      <c r="M57" s="12">
        <f>IFERROR((D27-E27)/ABS(E27),"-")</f>
        <v>0.41760875260993441</v>
      </c>
      <c r="N57" s="12">
        <f>IFERROR((F27-G27)/ABS(G27),"-")</f>
        <v>0.16772604047150574</v>
      </c>
      <c r="O57" s="12">
        <f>IFERROR((H27-I27)/ABS(I27),"-")</f>
        <v>-0.25169312476608546</v>
      </c>
      <c r="P57" s="12">
        <f>IFERROR((I27-J27)/ABS(J27),"-")</f>
        <v>0.11035505361648239</v>
      </c>
    </row>
    <row r="58" spans="11:16" ht="15" customHeight="1" x14ac:dyDescent="0.2">
      <c r="K58" s="13" t="s">
        <v>68</v>
      </c>
      <c r="L58" s="10">
        <f>IFERROR((B29-C29)/ABS(C29),"-")</f>
        <v>0</v>
      </c>
      <c r="M58" s="10">
        <f>IFERROR((D29-E29)/ABS(E29),"-")</f>
        <v>0</v>
      </c>
      <c r="N58" s="10">
        <f>IFERROR((F29-G29)/ABS(G29),"-")</f>
        <v>9.7393889189606609E-3</v>
      </c>
      <c r="O58" s="10">
        <f>IFERROR((H29-I29)/ABS(I29),"-")</f>
        <v>0</v>
      </c>
      <c r="P58" s="10">
        <f>IFERROR((I29-J29)/ABS(J29),"-")</f>
        <v>0</v>
      </c>
    </row>
    <row r="59" spans="11:16" ht="15" customHeight="1" x14ac:dyDescent="0.2">
      <c r="K59" s="13" t="s">
        <v>69</v>
      </c>
      <c r="L59" s="10">
        <f>IFERROR((B30-C30)/ABS(C30),"-")</f>
        <v>0</v>
      </c>
      <c r="M59" s="10">
        <f>IFERROR((D30-E30)/ABS(E30),"-")</f>
        <v>0</v>
      </c>
      <c r="N59" s="10">
        <f>IFERROR((F30-G30)/ABS(G30),"-")</f>
        <v>5.7263185781160006E-4</v>
      </c>
      <c r="O59" s="10" t="str">
        <f>IFERROR((H30-I30)/ABS(I30),"-")</f>
        <v>-</v>
      </c>
      <c r="P59" s="10" t="str">
        <f>IFERROR((I30-J30)/ABS(J30),"-")</f>
        <v>-</v>
      </c>
    </row>
    <row r="60" spans="11:16" ht="15" customHeight="1" x14ac:dyDescent="0.2">
      <c r="K60" s="14" t="s">
        <v>70</v>
      </c>
      <c r="L60" s="12">
        <f>IFERROR((B33-C33)/ABS(C33),"-")</f>
        <v>3.2311302329587094E-2</v>
      </c>
      <c r="M60" s="12">
        <f>IFERROR((D33-E33)/ABS(E33),"-")</f>
        <v>2.9820215112692554E-2</v>
      </c>
      <c r="N60" s="12">
        <f>IFERROR((F33-G33)/ABS(G33),"-")</f>
        <v>1.3268193060031859E-2</v>
      </c>
      <c r="O60" s="12">
        <f>IFERROR((H33-I33)/ABS(I33),"-")</f>
        <v>0.89462020534031672</v>
      </c>
      <c r="P60" s="12">
        <f>IFERROR((I33-J33)/ABS(J33),"-")</f>
        <v>7.5977656651007974E-2</v>
      </c>
    </row>
    <row r="61" spans="11:16" ht="15" customHeight="1" x14ac:dyDescent="0.2">
      <c r="K61" s="14" t="s">
        <v>71</v>
      </c>
      <c r="L61" s="12">
        <f>IFERROR((B34-C34)/ABS(C34),"-")</f>
        <v>4.9219449462800366E-2</v>
      </c>
      <c r="M61" s="12">
        <f>IFERROR((D34-E34)/ABS(E34),"-")</f>
        <v>0.11986043752005206</v>
      </c>
      <c r="N61" s="12">
        <f>IFERROR((F34-G34)/ABS(G34),"-")</f>
        <v>4.5373901501618193E-2</v>
      </c>
      <c r="O61" s="12">
        <f>IFERROR((H34-I34)/ABS(I34),"-")</f>
        <v>0.39532574054144087</v>
      </c>
      <c r="P61" s="12">
        <f>IFERROR((I34-J34)/ABS(J34),"-")</f>
        <v>9.068601728534971E-2</v>
      </c>
    </row>
    <row r="62" spans="11:16" ht="15" customHeight="1" x14ac:dyDescent="0.2"/>
  </sheetData>
  <mergeCells count="10">
    <mergeCell ref="A1:J1"/>
    <mergeCell ref="L1:T1"/>
    <mergeCell ref="A3:J3"/>
    <mergeCell ref="A4:J4"/>
    <mergeCell ref="A11:J11"/>
    <mergeCell ref="A17:J17"/>
    <mergeCell ref="A18:J18"/>
    <mergeCell ref="A23:J23"/>
    <mergeCell ref="A28:J28"/>
    <mergeCell ref="L39:T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73" customWidth="1"/>
    <col min="2" max="10" width="15" customWidth="1"/>
    <col min="11" max="11" width="36" customWidth="1"/>
    <col min="12" max="20" width="16" customWidth="1"/>
  </cols>
  <sheetData>
    <row r="1" spans="1:20" ht="21.75" customHeight="1" x14ac:dyDescent="0.2">
      <c r="A1" s="254" t="s">
        <v>72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73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5" t="s">
        <v>74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20" ht="15" customHeight="1" x14ac:dyDescent="0.2">
      <c r="A4" s="8" t="s">
        <v>75</v>
      </c>
      <c r="B4" s="9">
        <v>2939691.7689999999</v>
      </c>
      <c r="C4" s="9">
        <v>3094818.159</v>
      </c>
      <c r="D4" s="9">
        <v>2364399.96</v>
      </c>
      <c r="E4" s="9">
        <v>2684048.7280000001</v>
      </c>
      <c r="F4" s="9">
        <v>1859032.808</v>
      </c>
      <c r="G4" s="9">
        <v>2296830.0320000001</v>
      </c>
      <c r="H4" s="9">
        <v>1187271.828</v>
      </c>
      <c r="I4" s="9">
        <v>540226.277</v>
      </c>
      <c r="J4" s="9">
        <v>335201.95400000003</v>
      </c>
      <c r="L4" s="12">
        <f t="shared" ref="L4:T4" si="0">IFERROR(B4/B4,"")</f>
        <v>1</v>
      </c>
      <c r="M4" s="12">
        <f t="shared" si="0"/>
        <v>1</v>
      </c>
      <c r="N4" s="12">
        <f t="shared" si="0"/>
        <v>1</v>
      </c>
      <c r="O4" s="12">
        <f t="shared" si="0"/>
        <v>1</v>
      </c>
      <c r="P4" s="12">
        <f t="shared" si="0"/>
        <v>1</v>
      </c>
      <c r="Q4" s="12">
        <f t="shared" si="0"/>
        <v>1</v>
      </c>
      <c r="R4" s="12">
        <f t="shared" si="0"/>
        <v>1</v>
      </c>
      <c r="S4" s="12">
        <f t="shared" si="0"/>
        <v>1</v>
      </c>
      <c r="T4" s="12">
        <f t="shared" si="0"/>
        <v>1</v>
      </c>
    </row>
    <row r="5" spans="1:20" ht="15" customHeight="1" x14ac:dyDescent="0.2">
      <c r="A5" s="13" t="s">
        <v>76</v>
      </c>
      <c r="B5" s="9">
        <v>-1593243.96</v>
      </c>
      <c r="C5" s="9">
        <v>-1470095.7350000001</v>
      </c>
      <c r="D5" s="9">
        <v>-1123133.612</v>
      </c>
      <c r="E5" s="9">
        <v>-1087585.4210000001</v>
      </c>
      <c r="F5" s="9">
        <v>-753286.24199999997</v>
      </c>
      <c r="G5" s="9">
        <v>-652409.85100000002</v>
      </c>
      <c r="H5" s="9">
        <v>-213469.07800000001</v>
      </c>
      <c r="I5" s="9">
        <v>-145366.74900000001</v>
      </c>
      <c r="J5" s="9">
        <v>-88705.657000000007</v>
      </c>
      <c r="L5" s="10">
        <f t="shared" ref="L5:T5" si="1">IFERROR(B5/B4,"")</f>
        <v>-0.54197653536376589</v>
      </c>
      <c r="M5" s="10">
        <f t="shared" si="1"/>
        <v>-0.47501845325704645</v>
      </c>
      <c r="N5" s="10">
        <f t="shared" si="1"/>
        <v>-0.4750184533077052</v>
      </c>
      <c r="O5" s="10">
        <f t="shared" si="1"/>
        <v>-0.40520330709882701</v>
      </c>
      <c r="P5" s="10">
        <f t="shared" si="1"/>
        <v>-0.40520330720274195</v>
      </c>
      <c r="Q5" s="10">
        <f t="shared" si="1"/>
        <v>-0.28404794517246196</v>
      </c>
      <c r="R5" s="10">
        <f t="shared" si="1"/>
        <v>-0.17979798136000244</v>
      </c>
      <c r="S5" s="10">
        <f t="shared" si="1"/>
        <v>-0.26908492827719305</v>
      </c>
      <c r="T5" s="10">
        <f t="shared" si="1"/>
        <v>-0.26463347227385198</v>
      </c>
    </row>
    <row r="6" spans="1:20" ht="15" customHeight="1" x14ac:dyDescent="0.2">
      <c r="A6" s="6" t="s">
        <v>77</v>
      </c>
      <c r="B6" s="11">
        <f t="shared" ref="B6:J6" si="2">B4+B5</f>
        <v>1346447.8089999999</v>
      </c>
      <c r="C6" s="11">
        <f t="shared" si="2"/>
        <v>1624722.4239999999</v>
      </c>
      <c r="D6" s="11">
        <f t="shared" si="2"/>
        <v>1241266.348</v>
      </c>
      <c r="E6" s="11">
        <f t="shared" si="2"/>
        <v>1596463.307</v>
      </c>
      <c r="F6" s="11">
        <f t="shared" si="2"/>
        <v>1105746.5660000001</v>
      </c>
      <c r="G6" s="11">
        <f t="shared" si="2"/>
        <v>1644420.1810000001</v>
      </c>
      <c r="H6" s="11">
        <f t="shared" si="2"/>
        <v>973802.75</v>
      </c>
      <c r="I6" s="11">
        <f t="shared" si="2"/>
        <v>394859.52799999999</v>
      </c>
      <c r="J6" s="11">
        <f t="shared" si="2"/>
        <v>246496.29700000002</v>
      </c>
      <c r="L6" s="12">
        <f t="shared" ref="L6:T6" si="3">IFERROR(B6/B4,"")</f>
        <v>0.45802346463623411</v>
      </c>
      <c r="M6" s="12">
        <f t="shared" si="3"/>
        <v>0.5249815467429535</v>
      </c>
      <c r="N6" s="12">
        <f t="shared" si="3"/>
        <v>0.5249815466922948</v>
      </c>
      <c r="O6" s="12">
        <f t="shared" si="3"/>
        <v>0.59479669290117299</v>
      </c>
      <c r="P6" s="12">
        <f t="shared" si="3"/>
        <v>0.59479669279725811</v>
      </c>
      <c r="Q6" s="12">
        <f t="shared" si="3"/>
        <v>0.7159520548275381</v>
      </c>
      <c r="R6" s="12">
        <f t="shared" si="3"/>
        <v>0.82020201863999764</v>
      </c>
      <c r="S6" s="12">
        <f t="shared" si="3"/>
        <v>0.73091507172280701</v>
      </c>
      <c r="T6" s="12">
        <f t="shared" si="3"/>
        <v>0.73536652772614808</v>
      </c>
    </row>
    <row r="7" spans="1:20" ht="15" customHeight="1" x14ac:dyDescent="0.2">
      <c r="A7" s="13" t="s">
        <v>78</v>
      </c>
      <c r="B7" s="9">
        <v>-277480.55499999999</v>
      </c>
      <c r="C7" s="9">
        <v>-275923.04399999999</v>
      </c>
      <c r="D7" s="9">
        <v>-174481.465</v>
      </c>
      <c r="E7" s="9">
        <v>-91519.475000000006</v>
      </c>
      <c r="F7" s="9">
        <v>-63388.457000000002</v>
      </c>
      <c r="G7" s="9">
        <v>-45956.042000000001</v>
      </c>
      <c r="H7" s="9">
        <v>-24713.013999999999</v>
      </c>
      <c r="I7" s="9">
        <v>-23918.82</v>
      </c>
      <c r="J7" s="9">
        <v>-14143.853999999999</v>
      </c>
      <c r="L7" s="10">
        <f t="shared" ref="L7:T7" si="4">IFERROR(B7/B4,"")</f>
        <v>-9.4391037157746313E-2</v>
      </c>
      <c r="M7" s="10">
        <f t="shared" si="4"/>
        <v>-8.9156464071270813E-2</v>
      </c>
      <c r="N7" s="10">
        <f t="shared" si="4"/>
        <v>-7.3795241055578428E-2</v>
      </c>
      <c r="O7" s="10">
        <f t="shared" si="4"/>
        <v>-3.4097546011467195E-2</v>
      </c>
      <c r="P7" s="10">
        <f t="shared" si="4"/>
        <v>-3.4097546168749486E-2</v>
      </c>
      <c r="Q7" s="10">
        <f t="shared" si="4"/>
        <v>-2.000846443129406E-2</v>
      </c>
      <c r="R7" s="10">
        <f t="shared" si="4"/>
        <v>-2.0814958644836977E-2</v>
      </c>
      <c r="S7" s="10">
        <f t="shared" si="4"/>
        <v>-4.4275558258340696E-2</v>
      </c>
      <c r="T7" s="10">
        <f t="shared" si="4"/>
        <v>-4.2195022526628823E-2</v>
      </c>
    </row>
    <row r="8" spans="1:20" ht="15" customHeight="1" x14ac:dyDescent="0.2">
      <c r="A8" s="13" t="s">
        <v>79</v>
      </c>
      <c r="B8" s="9">
        <v>-21122.877</v>
      </c>
      <c r="C8" s="9">
        <v>-20363.625</v>
      </c>
      <c r="D8" s="9">
        <v>-51877.614000000001</v>
      </c>
      <c r="E8" s="9">
        <v>-37178.785000000003</v>
      </c>
      <c r="F8" s="9">
        <v>-25750.866999999998</v>
      </c>
      <c r="G8" s="9">
        <v>-21280.791000000001</v>
      </c>
      <c r="H8" s="9">
        <v>-10884.445</v>
      </c>
      <c r="I8" s="9">
        <v>-6034.5119999999997</v>
      </c>
      <c r="J8" s="9">
        <v>-3100.5219999999999</v>
      </c>
      <c r="L8" s="10">
        <f t="shared" ref="L8:T8" si="5">IFERROR(B8/B4,"")</f>
        <v>-7.1854053621361151E-3</v>
      </c>
      <c r="M8" s="10">
        <f t="shared" si="5"/>
        <v>-6.5799100153205482E-3</v>
      </c>
      <c r="N8" s="10">
        <f t="shared" si="5"/>
        <v>-2.1941133005263628E-2</v>
      </c>
      <c r="O8" s="10">
        <f t="shared" si="5"/>
        <v>-1.3851754855323924E-2</v>
      </c>
      <c r="P8" s="10">
        <f t="shared" si="5"/>
        <v>-1.3851755003562045E-2</v>
      </c>
      <c r="Q8" s="10">
        <f t="shared" si="5"/>
        <v>-9.2652876806340895E-3</v>
      </c>
      <c r="R8" s="10">
        <f t="shared" si="5"/>
        <v>-9.1676099300151172E-3</v>
      </c>
      <c r="S8" s="10">
        <f t="shared" si="5"/>
        <v>-1.117034149747588E-2</v>
      </c>
      <c r="T8" s="10">
        <f t="shared" si="5"/>
        <v>-9.2497133832340362E-3</v>
      </c>
    </row>
    <row r="9" spans="1:20" ht="15" customHeight="1" x14ac:dyDescent="0.2">
      <c r="A9" s="13" t="s">
        <v>80</v>
      </c>
      <c r="B9" s="9">
        <v>531728.08900000004</v>
      </c>
      <c r="C9" s="9">
        <v>184347.61600000001</v>
      </c>
      <c r="D9" s="9">
        <v>140839.13</v>
      </c>
      <c r="E9" s="9">
        <v>661558.63699999999</v>
      </c>
      <c r="F9" s="9">
        <v>458210.46299999999</v>
      </c>
      <c r="G9" s="9">
        <v>351011.98800000001</v>
      </c>
      <c r="H9" s="9">
        <v>181818.13</v>
      </c>
      <c r="I9" s="9">
        <v>59967.786999999997</v>
      </c>
      <c r="J9" s="9">
        <v>49577.646999999997</v>
      </c>
      <c r="L9" s="10">
        <f t="shared" ref="L9:T9" si="6">IFERROR(B9/B4,"")</f>
        <v>0.1808788576432552</v>
      </c>
      <c r="M9" s="10">
        <f t="shared" si="6"/>
        <v>5.9566542048327183E-2</v>
      </c>
      <c r="N9" s="10">
        <f t="shared" si="6"/>
        <v>5.9566542202106956E-2</v>
      </c>
      <c r="O9" s="10">
        <f t="shared" si="6"/>
        <v>0.24647787877269864</v>
      </c>
      <c r="P9" s="10">
        <f t="shared" si="6"/>
        <v>0.24647787872714078</v>
      </c>
      <c r="Q9" s="10">
        <f t="shared" si="6"/>
        <v>0.1528245377801643</v>
      </c>
      <c r="R9" s="10">
        <f t="shared" si="6"/>
        <v>0.15313942916196274</v>
      </c>
      <c r="S9" s="10">
        <f t="shared" si="6"/>
        <v>0.11100494284175665</v>
      </c>
      <c r="T9" s="10">
        <f t="shared" si="6"/>
        <v>0.14790381263708263</v>
      </c>
    </row>
    <row r="10" spans="1:20" ht="15" customHeight="1" x14ac:dyDescent="0.2">
      <c r="A10" s="13" t="s">
        <v>81</v>
      </c>
      <c r="B10" s="9">
        <v>-40727.290999999997</v>
      </c>
      <c r="C10" s="9">
        <v>-39299.627</v>
      </c>
      <c r="D10" s="9">
        <v>-30024.393</v>
      </c>
      <c r="E10" s="9">
        <v>-3175.88</v>
      </c>
      <c r="F10" s="9">
        <v>-2199.6860000000001</v>
      </c>
      <c r="G10" s="9">
        <v>-23441.626</v>
      </c>
      <c r="H10" s="9">
        <v>-13469.879000000001</v>
      </c>
      <c r="I10" s="9">
        <v>-19537.815999999999</v>
      </c>
      <c r="J10" s="9">
        <v>-4522.3689999999997</v>
      </c>
      <c r="L10" s="10">
        <f t="shared" ref="L10:T10" si="7">IFERROR(B10/B4,"")</f>
        <v>-1.3854272556559313E-2</v>
      </c>
      <c r="M10" s="10">
        <f t="shared" si="7"/>
        <v>-1.2698525399856941E-2</v>
      </c>
      <c r="N10" s="10">
        <f t="shared" si="7"/>
        <v>-1.2698525422069454E-2</v>
      </c>
      <c r="O10" s="10">
        <f t="shared" si="7"/>
        <v>-1.1832423036397274E-3</v>
      </c>
      <c r="P10" s="10">
        <f t="shared" si="7"/>
        <v>-1.1832421625557457E-3</v>
      </c>
      <c r="Q10" s="10">
        <f t="shared" si="7"/>
        <v>-1.0206077800013719E-2</v>
      </c>
      <c r="R10" s="10">
        <f t="shared" si="7"/>
        <v>-1.1345235928566143E-2</v>
      </c>
      <c r="S10" s="10">
        <f t="shared" si="7"/>
        <v>-3.6165986054025281E-2</v>
      </c>
      <c r="T10" s="10">
        <f t="shared" si="7"/>
        <v>-1.3491475649333473E-2</v>
      </c>
    </row>
    <row r="11" spans="1:20" ht="15" customHeight="1" x14ac:dyDescent="0.2">
      <c r="A11" s="6" t="s">
        <v>82</v>
      </c>
      <c r="B11" s="11">
        <f t="shared" ref="B11:J11" si="8">B6+B7+B8+B9+B10</f>
        <v>1538845.175</v>
      </c>
      <c r="C11" s="11">
        <f t="shared" si="8"/>
        <v>1473483.7439999997</v>
      </c>
      <c r="D11" s="11">
        <f t="shared" si="8"/>
        <v>1125722.0059999998</v>
      </c>
      <c r="E11" s="11">
        <f t="shared" si="8"/>
        <v>2126147.804</v>
      </c>
      <c r="F11" s="11">
        <f t="shared" si="8"/>
        <v>1472618.0190000001</v>
      </c>
      <c r="G11" s="11">
        <f t="shared" si="8"/>
        <v>1904753.7100000002</v>
      </c>
      <c r="H11" s="11">
        <f t="shared" si="8"/>
        <v>1106553.5420000001</v>
      </c>
      <c r="I11" s="11">
        <f t="shared" si="8"/>
        <v>405336.16700000002</v>
      </c>
      <c r="J11" s="11">
        <f t="shared" si="8"/>
        <v>274307.19900000002</v>
      </c>
      <c r="L11" s="12">
        <f t="shared" ref="L11:T11" si="9">IFERROR(B11/B4,"")</f>
        <v>0.52347160720304764</v>
      </c>
      <c r="M11" s="12">
        <f t="shared" si="9"/>
        <v>0.47611318930483232</v>
      </c>
      <c r="N11" s="12">
        <f t="shared" si="9"/>
        <v>0.47611318941149017</v>
      </c>
      <c r="O11" s="12">
        <f t="shared" si="9"/>
        <v>0.79214202850344073</v>
      </c>
      <c r="P11" s="12">
        <f t="shared" si="9"/>
        <v>0.79214202818953161</v>
      </c>
      <c r="Q11" s="12">
        <f t="shared" si="9"/>
        <v>0.82929676269576058</v>
      </c>
      <c r="R11" s="12">
        <f t="shared" si="9"/>
        <v>0.93201364329854219</v>
      </c>
      <c r="S11" s="12">
        <f t="shared" si="9"/>
        <v>0.75030812875472186</v>
      </c>
      <c r="T11" s="12">
        <f t="shared" si="9"/>
        <v>0.81833412880403433</v>
      </c>
    </row>
    <row r="12" spans="1:20" ht="15" customHeight="1" x14ac:dyDescent="0.2">
      <c r="A12" s="13" t="s">
        <v>83</v>
      </c>
      <c r="B12" s="9">
        <v>963755.73800000001</v>
      </c>
      <c r="C12" s="9">
        <v>812716.38500000001</v>
      </c>
      <c r="D12" s="9">
        <v>620904.52099999995</v>
      </c>
      <c r="E12" s="9">
        <v>560777.80200000003</v>
      </c>
      <c r="F12" s="9">
        <v>388407.37900000002</v>
      </c>
      <c r="G12" s="9">
        <v>380365.87900000002</v>
      </c>
      <c r="H12" s="9">
        <v>64577.671999999999</v>
      </c>
      <c r="I12" s="9">
        <v>63161.961000000003</v>
      </c>
      <c r="J12" s="9">
        <v>34544.684999999998</v>
      </c>
      <c r="L12" s="10">
        <f t="shared" ref="L12:T12" si="10">IFERROR(B12/B4,"")</f>
        <v>0.32784244530774137</v>
      </c>
      <c r="M12" s="10">
        <f t="shared" si="10"/>
        <v>0.26260553714167345</v>
      </c>
      <c r="N12" s="10">
        <f t="shared" si="10"/>
        <v>0.26260553692447192</v>
      </c>
      <c r="O12" s="10">
        <f t="shared" si="10"/>
        <v>0.20892981418331388</v>
      </c>
      <c r="P12" s="10">
        <f t="shared" si="10"/>
        <v>0.20892981411009076</v>
      </c>
      <c r="Q12" s="10">
        <f t="shared" si="10"/>
        <v>0.16560471332255725</v>
      </c>
      <c r="R12" s="10">
        <f t="shared" si="10"/>
        <v>5.4391648548406391E-2</v>
      </c>
      <c r="S12" s="10">
        <f t="shared" si="10"/>
        <v>0.1169176022883463</v>
      </c>
      <c r="T12" s="10">
        <f t="shared" si="10"/>
        <v>0.10305633540549108</v>
      </c>
    </row>
    <row r="13" spans="1:20" ht="15" customHeight="1" x14ac:dyDescent="0.2">
      <c r="A13" s="6" t="s">
        <v>84</v>
      </c>
      <c r="B13" s="11">
        <f t="shared" ref="B13:J13" si="11">B11+B12</f>
        <v>2502600.9130000002</v>
      </c>
      <c r="C13" s="11">
        <f t="shared" si="11"/>
        <v>2286200.1289999997</v>
      </c>
      <c r="D13" s="11">
        <f t="shared" si="11"/>
        <v>1746626.5269999998</v>
      </c>
      <c r="E13" s="11">
        <f t="shared" si="11"/>
        <v>2686925.6060000001</v>
      </c>
      <c r="F13" s="11">
        <f t="shared" si="11"/>
        <v>1861025.398</v>
      </c>
      <c r="G13" s="11">
        <f t="shared" si="11"/>
        <v>2285119.5890000002</v>
      </c>
      <c r="H13" s="11">
        <f t="shared" si="11"/>
        <v>1171131.2140000002</v>
      </c>
      <c r="I13" s="11">
        <f t="shared" si="11"/>
        <v>468498.12800000003</v>
      </c>
      <c r="J13" s="11">
        <f t="shared" si="11"/>
        <v>308851.88400000002</v>
      </c>
      <c r="L13" s="12">
        <f t="shared" ref="L13:T13" si="12">IFERROR(B13/B4,"")</f>
        <v>0.85131405251078907</v>
      </c>
      <c r="M13" s="12">
        <f t="shared" si="12"/>
        <v>0.73871872644650582</v>
      </c>
      <c r="N13" s="12">
        <f t="shared" si="12"/>
        <v>0.73871872633596214</v>
      </c>
      <c r="O13" s="12">
        <f t="shared" si="12"/>
        <v>1.0010718426867546</v>
      </c>
      <c r="P13" s="12">
        <f t="shared" si="12"/>
        <v>1.0010718422996223</v>
      </c>
      <c r="Q13" s="12">
        <f t="shared" si="12"/>
        <v>0.9949014760183178</v>
      </c>
      <c r="R13" s="12">
        <f t="shared" si="12"/>
        <v>0.98640529184694858</v>
      </c>
      <c r="S13" s="12">
        <f t="shared" si="12"/>
        <v>0.8672257310430681</v>
      </c>
      <c r="T13" s="12">
        <f t="shared" si="12"/>
        <v>0.92139046420952542</v>
      </c>
    </row>
    <row r="14" spans="1:20" ht="15" customHeight="1" x14ac:dyDescent="0.2">
      <c r="A14" s="13" t="s">
        <v>85</v>
      </c>
      <c r="B14" s="9">
        <v>-513747.36099999998</v>
      </c>
      <c r="C14" s="9">
        <v>-259170.25099999999</v>
      </c>
      <c r="D14" s="9">
        <v>-198002.62899999999</v>
      </c>
      <c r="E14" s="9">
        <v>-515294.41600000003</v>
      </c>
      <c r="F14" s="9">
        <v>-356904.55800000002</v>
      </c>
      <c r="G14" s="9">
        <v>-327852.59999999998</v>
      </c>
      <c r="H14" s="9">
        <v>-171205.86900000001</v>
      </c>
      <c r="I14" s="9">
        <v>-208984.41200000001</v>
      </c>
      <c r="J14" s="9">
        <v>-75592.597999999998</v>
      </c>
      <c r="L14" s="10">
        <f t="shared" ref="L14:T14" si="13">IFERROR(B14/B4,"")</f>
        <v>-0.17476232250524765</v>
      </c>
      <c r="M14" s="10">
        <f t="shared" si="13"/>
        <v>-8.3743288841158697E-2</v>
      </c>
      <c r="N14" s="10">
        <f t="shared" si="13"/>
        <v>-8.3743288931539317E-2</v>
      </c>
      <c r="O14" s="10">
        <f t="shared" si="13"/>
        <v>-0.19198400186421652</v>
      </c>
      <c r="P14" s="10">
        <f t="shared" si="13"/>
        <v>-0.19198400182295225</v>
      </c>
      <c r="Q14" s="10">
        <f t="shared" si="13"/>
        <v>-0.14274134151516527</v>
      </c>
      <c r="R14" s="10">
        <f t="shared" si="13"/>
        <v>-0.14420107086041295</v>
      </c>
      <c r="S14" s="10">
        <f t="shared" si="13"/>
        <v>-0.38684606968868346</v>
      </c>
      <c r="T14" s="10">
        <f t="shared" si="13"/>
        <v>-0.2255135959022482</v>
      </c>
    </row>
    <row r="15" spans="1:20" ht="15" customHeight="1" x14ac:dyDescent="0.2">
      <c r="A15" s="13" t="s">
        <v>86</v>
      </c>
      <c r="B15" s="9">
        <v>335341.09000000003</v>
      </c>
      <c r="C15" s="9">
        <v>360389.53600000002</v>
      </c>
      <c r="D15" s="9">
        <v>275332.81699999998</v>
      </c>
      <c r="E15" s="9">
        <v>-159758.03400000001</v>
      </c>
      <c r="F15" s="9">
        <v>-110652.02499999999</v>
      </c>
      <c r="G15" s="9">
        <v>27868.825000000001</v>
      </c>
      <c r="H15" s="9">
        <v>0</v>
      </c>
      <c r="I15" s="9">
        <v>0</v>
      </c>
      <c r="J15" s="9">
        <v>0</v>
      </c>
      <c r="L15" s="10">
        <f t="shared" ref="L15:T15" si="14">IFERROR(B15/B4,"")</f>
        <v>0.11407355476389744</v>
      </c>
      <c r="M15" s="10">
        <f t="shared" si="14"/>
        <v>0.11644934128099124</v>
      </c>
      <c r="N15" s="10">
        <f t="shared" si="14"/>
        <v>0.11644934091438573</v>
      </c>
      <c r="O15" s="10">
        <f t="shared" si="14"/>
        <v>-5.9521286753628569E-2</v>
      </c>
      <c r="P15" s="10">
        <f t="shared" si="14"/>
        <v>-5.952128683465386E-2</v>
      </c>
      <c r="Q15" s="10">
        <f t="shared" si="14"/>
        <v>1.2133603536929022E-2</v>
      </c>
      <c r="R15" s="10">
        <f t="shared" si="14"/>
        <v>0</v>
      </c>
      <c r="S15" s="10">
        <f t="shared" si="14"/>
        <v>0</v>
      </c>
      <c r="T15" s="10">
        <f t="shared" si="14"/>
        <v>0</v>
      </c>
    </row>
    <row r="16" spans="1:20" ht="15" customHeight="1" x14ac:dyDescent="0.2">
      <c r="A16" s="6" t="s">
        <v>87</v>
      </c>
      <c r="B16" s="11">
        <f t="shared" ref="B16:J16" si="15">B11+B14+B15</f>
        <v>1360438.9040000001</v>
      </c>
      <c r="C16" s="11">
        <f t="shared" si="15"/>
        <v>1574703.0289999999</v>
      </c>
      <c r="D16" s="11">
        <f t="shared" si="15"/>
        <v>1203052.1939999999</v>
      </c>
      <c r="E16" s="11">
        <f t="shared" si="15"/>
        <v>1451095.3540000001</v>
      </c>
      <c r="F16" s="11">
        <f t="shared" si="15"/>
        <v>1005061.4360000001</v>
      </c>
      <c r="G16" s="11">
        <f t="shared" si="15"/>
        <v>1604769.9350000003</v>
      </c>
      <c r="H16" s="11">
        <f t="shared" si="15"/>
        <v>935347.67300000018</v>
      </c>
      <c r="I16" s="11">
        <f t="shared" si="15"/>
        <v>196351.755</v>
      </c>
      <c r="J16" s="11">
        <f t="shared" si="15"/>
        <v>198714.60100000002</v>
      </c>
      <c r="L16" s="12">
        <f t="shared" ref="L16:T16" si="16">IFERROR(B16/B4,"")</f>
        <v>0.46278283946169735</v>
      </c>
      <c r="M16" s="12">
        <f t="shared" si="16"/>
        <v>0.50881924174466497</v>
      </c>
      <c r="N16" s="12">
        <f t="shared" si="16"/>
        <v>0.50881924139433665</v>
      </c>
      <c r="O16" s="12">
        <f t="shared" si="16"/>
        <v>0.54063673988559569</v>
      </c>
      <c r="P16" s="12">
        <f t="shared" si="16"/>
        <v>0.54063673953192548</v>
      </c>
      <c r="Q16" s="12">
        <f t="shared" si="16"/>
        <v>0.69868902471752437</v>
      </c>
      <c r="R16" s="12">
        <f t="shared" si="16"/>
        <v>0.7878125724381293</v>
      </c>
      <c r="S16" s="12">
        <f t="shared" si="16"/>
        <v>0.36346205906603835</v>
      </c>
      <c r="T16" s="12">
        <f t="shared" si="16"/>
        <v>0.59282053290178616</v>
      </c>
    </row>
    <row r="17" spans="1:20" ht="15" customHeight="1" x14ac:dyDescent="0.2">
      <c r="A17" s="13" t="s">
        <v>88</v>
      </c>
      <c r="B17" s="9">
        <v>-192352.446</v>
      </c>
      <c r="C17" s="9">
        <v>-145137.71599999999</v>
      </c>
      <c r="D17" s="9">
        <v>-110883.287</v>
      </c>
      <c r="E17" s="9">
        <v>-260872.272</v>
      </c>
      <c r="F17" s="9">
        <v>-180686.03099999999</v>
      </c>
      <c r="G17" s="9">
        <v>-233889.617</v>
      </c>
      <c r="H17" s="9">
        <v>-114981.52499999999</v>
      </c>
      <c r="I17" s="9">
        <v>-47052.650999999998</v>
      </c>
      <c r="J17" s="9">
        <v>-27295.598999999998</v>
      </c>
      <c r="L17" s="10">
        <f t="shared" ref="L17:T17" si="17">IFERROR(B17/B4,"")</f>
        <v>-6.5432862053232496E-2</v>
      </c>
      <c r="M17" s="10">
        <f t="shared" si="17"/>
        <v>-4.6897009305030379E-2</v>
      </c>
      <c r="N17" s="10">
        <f t="shared" si="17"/>
        <v>-4.6897009336779046E-2</v>
      </c>
      <c r="O17" s="10">
        <f t="shared" si="17"/>
        <v>-9.7193567791292346E-2</v>
      </c>
      <c r="P17" s="10">
        <f t="shared" si="17"/>
        <v>-9.7193567656499363E-2</v>
      </c>
      <c r="Q17" s="10">
        <f t="shared" si="17"/>
        <v>-0.10183148676279585</v>
      </c>
      <c r="R17" s="10">
        <f t="shared" si="17"/>
        <v>-9.6845155665565064E-2</v>
      </c>
      <c r="S17" s="10">
        <f t="shared" si="17"/>
        <v>-8.7098042067287287E-2</v>
      </c>
      <c r="T17" s="10">
        <f t="shared" si="17"/>
        <v>-8.1430309919971397E-2</v>
      </c>
    </row>
    <row r="18" spans="1:20" ht="15" customHeight="1" x14ac:dyDescent="0.2">
      <c r="A18" s="13" t="s">
        <v>89</v>
      </c>
      <c r="B18" s="9">
        <v>-322658.89299999998</v>
      </c>
      <c r="C18" s="9">
        <v>-337386.54200000002</v>
      </c>
      <c r="D18" s="9">
        <v>-257758.83600000001</v>
      </c>
      <c r="E18" s="9">
        <v>-289952.52299999999</v>
      </c>
      <c r="F18" s="9">
        <v>-200827.67</v>
      </c>
      <c r="G18" s="9">
        <v>93746.870999999999</v>
      </c>
      <c r="H18" s="9">
        <v>223589.78700000001</v>
      </c>
      <c r="I18" s="9">
        <v>21613.755000000001</v>
      </c>
      <c r="J18" s="9">
        <v>-15062.46</v>
      </c>
      <c r="L18" s="10">
        <f t="shared" ref="L18:T18" si="18">IFERROR(B18/B4,"")</f>
        <v>-0.10975943002002533</v>
      </c>
      <c r="M18" s="10">
        <f t="shared" si="18"/>
        <v>-0.10901659634471597</v>
      </c>
      <c r="N18" s="10">
        <f t="shared" si="18"/>
        <v>-0.10901659632915914</v>
      </c>
      <c r="O18" s="10">
        <f t="shared" si="18"/>
        <v>-0.10802803986947586</v>
      </c>
      <c r="P18" s="10">
        <f t="shared" si="18"/>
        <v>-0.10802803970740898</v>
      </c>
      <c r="Q18" s="10">
        <f t="shared" si="18"/>
        <v>4.0815763332025252E-2</v>
      </c>
      <c r="R18" s="10">
        <f t="shared" si="18"/>
        <v>0.18832232158379825</v>
      </c>
      <c r="S18" s="10">
        <f t="shared" si="18"/>
        <v>4.0008707314324141E-2</v>
      </c>
      <c r="T18" s="10">
        <f t="shared" si="18"/>
        <v>-4.4935477911921713E-2</v>
      </c>
    </row>
    <row r="19" spans="1:20" ht="15" customHeight="1" x14ac:dyDescent="0.2">
      <c r="A19" s="13" t="s">
        <v>90</v>
      </c>
      <c r="B19" s="9">
        <f t="shared" ref="B19:J19" si="19">B17+B18</f>
        <v>-515011.33899999998</v>
      </c>
      <c r="C19" s="9">
        <f t="shared" si="19"/>
        <v>-482524.25800000003</v>
      </c>
      <c r="D19" s="9">
        <f t="shared" si="19"/>
        <v>-368642.12300000002</v>
      </c>
      <c r="E19" s="9">
        <f t="shared" si="19"/>
        <v>-550824.79499999993</v>
      </c>
      <c r="F19" s="9">
        <f t="shared" si="19"/>
        <v>-381513.701</v>
      </c>
      <c r="G19" s="9">
        <f t="shared" si="19"/>
        <v>-140142.74599999998</v>
      </c>
      <c r="H19" s="9">
        <f t="shared" si="19"/>
        <v>108608.26200000002</v>
      </c>
      <c r="I19" s="9">
        <f t="shared" si="19"/>
        <v>-25438.895999999997</v>
      </c>
      <c r="J19" s="9">
        <f t="shared" si="19"/>
        <v>-42358.058999999994</v>
      </c>
      <c r="L19" s="10">
        <f t="shared" ref="L19:T19" si="20">IFERROR(B19/B4,"")</f>
        <v>-0.17519229207325784</v>
      </c>
      <c r="M19" s="10">
        <f t="shared" si="20"/>
        <v>-0.15591360564974635</v>
      </c>
      <c r="N19" s="10">
        <f t="shared" si="20"/>
        <v>-0.15591360566593818</v>
      </c>
      <c r="O19" s="10">
        <f t="shared" si="20"/>
        <v>-0.20522160766076819</v>
      </c>
      <c r="P19" s="10">
        <f t="shared" si="20"/>
        <v>-0.20522160736390835</v>
      </c>
      <c r="Q19" s="10">
        <f t="shared" si="20"/>
        <v>-6.1015723430770594E-2</v>
      </c>
      <c r="R19" s="10">
        <f t="shared" si="20"/>
        <v>9.1477165918233197E-2</v>
      </c>
      <c r="S19" s="10">
        <f t="shared" si="20"/>
        <v>-4.7089334752963147E-2</v>
      </c>
      <c r="T19" s="10">
        <f t="shared" si="20"/>
        <v>-0.12636578783189309</v>
      </c>
    </row>
    <row r="20" spans="1:20" ht="15" customHeight="1" x14ac:dyDescent="0.2">
      <c r="A20" s="6" t="s">
        <v>91</v>
      </c>
      <c r="B20" s="11">
        <f t="shared" ref="B20:J20" si="21">B16+B19</f>
        <v>845427.56500000018</v>
      </c>
      <c r="C20" s="11">
        <f t="shared" si="21"/>
        <v>1092178.7709999997</v>
      </c>
      <c r="D20" s="11">
        <f t="shared" si="21"/>
        <v>834410.07099999988</v>
      </c>
      <c r="E20" s="11">
        <f t="shared" si="21"/>
        <v>900270.55900000012</v>
      </c>
      <c r="F20" s="11">
        <f t="shared" si="21"/>
        <v>623547.7350000001</v>
      </c>
      <c r="G20" s="11">
        <f t="shared" si="21"/>
        <v>1464627.1890000002</v>
      </c>
      <c r="H20" s="11">
        <f t="shared" si="21"/>
        <v>1043955.9350000002</v>
      </c>
      <c r="I20" s="11">
        <f t="shared" si="21"/>
        <v>170912.859</v>
      </c>
      <c r="J20" s="11">
        <f t="shared" si="21"/>
        <v>156356.54200000002</v>
      </c>
      <c r="L20" s="12">
        <f t="shared" ref="L20:T20" si="22">IFERROR(B20/B4,"")</f>
        <v>0.28759054738843953</v>
      </c>
      <c r="M20" s="12">
        <f t="shared" si="22"/>
        <v>0.35290563609491854</v>
      </c>
      <c r="N20" s="12">
        <f t="shared" si="22"/>
        <v>0.35290563572839845</v>
      </c>
      <c r="O20" s="12">
        <f t="shared" si="22"/>
        <v>0.33541513222482749</v>
      </c>
      <c r="P20" s="12">
        <f t="shared" si="22"/>
        <v>0.33541513216801716</v>
      </c>
      <c r="Q20" s="12">
        <f t="shared" si="22"/>
        <v>0.6376733012867537</v>
      </c>
      <c r="R20" s="12">
        <f t="shared" si="22"/>
        <v>0.87928973835636248</v>
      </c>
      <c r="S20" s="12">
        <f t="shared" si="22"/>
        <v>0.31637272431307517</v>
      </c>
      <c r="T20" s="12">
        <f t="shared" si="22"/>
        <v>0.46645474506989298</v>
      </c>
    </row>
    <row r="21" spans="1:20" ht="15" customHeight="1" x14ac:dyDescent="0.2">
      <c r="A21" s="13" t="s">
        <v>92</v>
      </c>
      <c r="B21" s="15">
        <f>IFERROR(B20/GWIND_BS!B29,0)</f>
        <v>1.5656066018518522</v>
      </c>
      <c r="C21" s="15">
        <f>IFERROR(C20/GWIND_BS!C29,0)</f>
        <v>2.0225532796296291</v>
      </c>
      <c r="D21" s="15">
        <f>IFERROR(D20/GWIND_BS!D29,0)</f>
        <v>1.5452038351851849</v>
      </c>
      <c r="E21" s="15">
        <f>IFERROR(E20/GWIND_BS!E29,0)</f>
        <v>1.667167701851852</v>
      </c>
      <c r="F21" s="15">
        <f>IFERROR(F20/GWIND_BS!F29,0)</f>
        <v>1.154718027777778</v>
      </c>
      <c r="G21" s="15">
        <f>IFERROR(G20/GWIND_BS!G29,0)</f>
        <v>2.7386884496573249</v>
      </c>
      <c r="H21" s="15">
        <f>IFERROR(H20/GWIND_BS!H29,0)</f>
        <v>1.952080421972634</v>
      </c>
      <c r="I21" s="15">
        <f>IFERROR(I20/GWIND_BS!I29,0)</f>
        <v>0.31958786260194905</v>
      </c>
      <c r="J21" s="15">
        <f>IFERROR(J20/GWIND_BS!J29,0)</f>
        <v>0.29236918365289227</v>
      </c>
    </row>
    <row r="24" spans="1:20" ht="21.75" customHeight="1" x14ac:dyDescent="0.2">
      <c r="L24" s="254" t="s">
        <v>44</v>
      </c>
      <c r="M24" s="254"/>
      <c r="N24" s="254"/>
      <c r="O24" s="254"/>
      <c r="P24" s="254"/>
      <c r="Q24" s="254"/>
      <c r="R24" s="254"/>
      <c r="S24" s="254"/>
      <c r="T24" s="254"/>
    </row>
    <row r="25" spans="1:20" ht="27.75" customHeight="1" x14ac:dyDescent="0.2">
      <c r="K25" s="6" t="s">
        <v>45</v>
      </c>
      <c r="L25" s="7" t="s">
        <v>46</v>
      </c>
      <c r="M25" s="7" t="s">
        <v>47</v>
      </c>
      <c r="N25" s="7" t="s">
        <v>48</v>
      </c>
      <c r="O25" s="7" t="s">
        <v>49</v>
      </c>
      <c r="P25" s="7" t="s">
        <v>50</v>
      </c>
    </row>
    <row r="26" spans="1:20" ht="15" customHeight="1" x14ac:dyDescent="0.2">
      <c r="K26" s="14" t="s">
        <v>75</v>
      </c>
      <c r="L26" s="12">
        <f t="shared" ref="L26:L42" si="23">IFERROR((B4-C4)/ABS(C4),"-")</f>
        <v>-5.012455725351072E-2</v>
      </c>
      <c r="M26" s="12">
        <f t="shared" ref="M26:M42" si="24">IFERROR((D4-E4)/ABS(E4),"-")</f>
        <v>-0.11909201374230793</v>
      </c>
      <c r="N26" s="12">
        <f t="shared" ref="N26:N42" si="25">IFERROR((F4-G4)/ABS(G4),"-")</f>
        <v>-0.19060932585367735</v>
      </c>
      <c r="O26" s="12">
        <f t="shared" ref="O26:O42" si="26">IFERROR((H4-I4)/ABS(I4),"-")</f>
        <v>1.1977306150178251</v>
      </c>
      <c r="P26" s="12">
        <f t="shared" ref="P26:P42" si="27">IFERROR((I4-J4)/ABS(J4),"-")</f>
        <v>0.61164417615536915</v>
      </c>
    </row>
    <row r="27" spans="1:20" ht="15" customHeight="1" x14ac:dyDescent="0.2">
      <c r="K27" s="13" t="s">
        <v>93</v>
      </c>
      <c r="L27" s="10">
        <f t="shared" si="23"/>
        <v>-8.3768847203682176E-2</v>
      </c>
      <c r="M27" s="10">
        <f t="shared" si="24"/>
        <v>-3.2685424347923354E-2</v>
      </c>
      <c r="N27" s="10">
        <f t="shared" si="25"/>
        <v>-0.15462119531974991</v>
      </c>
      <c r="O27" s="10">
        <f t="shared" si="26"/>
        <v>-0.46848629049274532</v>
      </c>
      <c r="P27" s="10">
        <f t="shared" si="27"/>
        <v>-0.63875398611838252</v>
      </c>
    </row>
    <row r="28" spans="1:20" ht="15" customHeight="1" x14ac:dyDescent="0.2">
      <c r="K28" s="14" t="s">
        <v>94</v>
      </c>
      <c r="L28" s="12">
        <f t="shared" si="23"/>
        <v>-0.17127517346310719</v>
      </c>
      <c r="M28" s="12">
        <f t="shared" si="24"/>
        <v>-0.2224898984164376</v>
      </c>
      <c r="N28" s="12">
        <f t="shared" si="25"/>
        <v>-0.32757662623212475</v>
      </c>
      <c r="O28" s="12">
        <f t="shared" si="26"/>
        <v>1.4662004610409201</v>
      </c>
      <c r="P28" s="12">
        <f t="shared" si="27"/>
        <v>0.60188827501940101</v>
      </c>
    </row>
    <row r="29" spans="1:20" ht="15" customHeight="1" x14ac:dyDescent="0.2">
      <c r="K29" s="13" t="s">
        <v>95</v>
      </c>
      <c r="L29" s="10">
        <f t="shared" si="23"/>
        <v>-5.6447296949942265E-3</v>
      </c>
      <c r="M29" s="10">
        <f t="shared" si="24"/>
        <v>-0.90649547541657105</v>
      </c>
      <c r="N29" s="10">
        <f t="shared" si="25"/>
        <v>-0.37932803264476084</v>
      </c>
      <c r="O29" s="10">
        <f t="shared" si="26"/>
        <v>-3.3203728277565514E-2</v>
      </c>
      <c r="P29" s="10">
        <f t="shared" si="27"/>
        <v>-0.69111049930238255</v>
      </c>
    </row>
    <row r="30" spans="1:20" ht="15" customHeight="1" x14ac:dyDescent="0.2">
      <c r="K30" s="13" t="s">
        <v>96</v>
      </c>
      <c r="L30" s="10">
        <f t="shared" si="23"/>
        <v>-3.7284717234775264E-2</v>
      </c>
      <c r="M30" s="10">
        <f t="shared" si="24"/>
        <v>-0.39535528124439773</v>
      </c>
      <c r="N30" s="10">
        <f t="shared" si="25"/>
        <v>-0.21005215454632289</v>
      </c>
      <c r="O30" s="10">
        <f t="shared" si="26"/>
        <v>-0.80369928836001991</v>
      </c>
      <c r="P30" s="10">
        <f t="shared" si="27"/>
        <v>-0.94628904423190674</v>
      </c>
    </row>
    <row r="31" spans="1:20" ht="15" customHeight="1" x14ac:dyDescent="0.2">
      <c r="K31" s="13" t="s">
        <v>97</v>
      </c>
      <c r="L31" s="10">
        <f t="shared" si="23"/>
        <v>1.8843773547904192</v>
      </c>
      <c r="M31" s="10">
        <f t="shared" si="24"/>
        <v>-0.78711013336826863</v>
      </c>
      <c r="N31" s="10">
        <f t="shared" si="25"/>
        <v>0.30539833015617679</v>
      </c>
      <c r="O31" s="10">
        <f t="shared" si="26"/>
        <v>2.0319299593296649</v>
      </c>
      <c r="P31" s="10">
        <f t="shared" si="27"/>
        <v>0.20957307635031569</v>
      </c>
    </row>
    <row r="32" spans="1:20" ht="15" customHeight="1" x14ac:dyDescent="0.2">
      <c r="K32" s="13" t="s">
        <v>98</v>
      </c>
      <c r="L32" s="10">
        <f t="shared" si="23"/>
        <v>-3.6327673033639658E-2</v>
      </c>
      <c r="M32" s="10">
        <f t="shared" si="24"/>
        <v>-8.4538814438832688</v>
      </c>
      <c r="N32" s="10">
        <f t="shared" si="25"/>
        <v>0.90616324993837882</v>
      </c>
      <c r="O32" s="10">
        <f t="shared" si="26"/>
        <v>0.31057396589260533</v>
      </c>
      <c r="P32" s="10">
        <f t="shared" si="27"/>
        <v>-3.3202613497483289</v>
      </c>
    </row>
    <row r="33" spans="11:16" ht="15" customHeight="1" x14ac:dyDescent="0.2">
      <c r="K33" s="14" t="s">
        <v>99</v>
      </c>
      <c r="L33" s="12">
        <f t="shared" si="23"/>
        <v>4.4358433722903934E-2</v>
      </c>
      <c r="M33" s="12">
        <f t="shared" si="24"/>
        <v>-0.47053445490377593</v>
      </c>
      <c r="N33" s="12">
        <f t="shared" si="25"/>
        <v>-0.22687221383598202</v>
      </c>
      <c r="O33" s="12">
        <f t="shared" si="26"/>
        <v>1.7299649823747409</v>
      </c>
      <c r="P33" s="12">
        <f t="shared" si="27"/>
        <v>0.47767236323972667</v>
      </c>
    </row>
    <row r="34" spans="11:16" ht="15" customHeight="1" x14ac:dyDescent="0.2">
      <c r="K34" s="13" t="s">
        <v>100</v>
      </c>
      <c r="L34" s="10">
        <f t="shared" si="23"/>
        <v>0.18584509404224697</v>
      </c>
      <c r="M34" s="10">
        <f t="shared" si="24"/>
        <v>0.10722021946225312</v>
      </c>
      <c r="N34" s="10">
        <f t="shared" si="25"/>
        <v>2.114148624777145E-2</v>
      </c>
      <c r="O34" s="10">
        <f t="shared" si="26"/>
        <v>2.2413981098528522E-2</v>
      </c>
      <c r="P34" s="10">
        <f t="shared" si="27"/>
        <v>0.82841328557490124</v>
      </c>
    </row>
    <row r="35" spans="11:16" ht="15" customHeight="1" x14ac:dyDescent="0.2">
      <c r="K35" s="14" t="s">
        <v>84</v>
      </c>
      <c r="L35" s="12">
        <f t="shared" si="23"/>
        <v>9.4655223422918669E-2</v>
      </c>
      <c r="M35" s="12">
        <f t="shared" si="24"/>
        <v>-0.34995352193610391</v>
      </c>
      <c r="N35" s="12">
        <f t="shared" si="25"/>
        <v>-0.18558949520256382</v>
      </c>
      <c r="O35" s="12">
        <f t="shared" si="26"/>
        <v>1.4997564429969292</v>
      </c>
      <c r="P35" s="12">
        <f t="shared" si="27"/>
        <v>0.51690228316690467</v>
      </c>
    </row>
    <row r="36" spans="11:16" ht="15" customHeight="1" x14ac:dyDescent="0.2">
      <c r="K36" s="13" t="s">
        <v>101</v>
      </c>
      <c r="L36" s="10">
        <f t="shared" si="23"/>
        <v>-0.98227751455933887</v>
      </c>
      <c r="M36" s="10">
        <f t="shared" si="24"/>
        <v>0.61574854519673272</v>
      </c>
      <c r="N36" s="10">
        <f t="shared" si="25"/>
        <v>-8.8612864439690409E-2</v>
      </c>
      <c r="O36" s="10">
        <f t="shared" si="26"/>
        <v>0.18077206160237447</v>
      </c>
      <c r="P36" s="10">
        <f t="shared" si="27"/>
        <v>-1.7646147576512718</v>
      </c>
    </row>
    <row r="37" spans="11:16" ht="15" customHeight="1" x14ac:dyDescent="0.2">
      <c r="K37" s="13" t="s">
        <v>102</v>
      </c>
      <c r="L37" s="10">
        <f t="shared" si="23"/>
        <v>-6.9503810454696432E-2</v>
      </c>
      <c r="M37" s="10">
        <f t="shared" si="24"/>
        <v>2.7234364376316749</v>
      </c>
      <c r="N37" s="10">
        <f t="shared" si="25"/>
        <v>-4.9704589267757076</v>
      </c>
      <c r="O37" s="10" t="str">
        <f t="shared" si="26"/>
        <v>-</v>
      </c>
      <c r="P37" s="10" t="str">
        <f t="shared" si="27"/>
        <v>-</v>
      </c>
    </row>
    <row r="38" spans="11:16" ht="15" customHeight="1" x14ac:dyDescent="0.2">
      <c r="K38" s="14" t="s">
        <v>103</v>
      </c>
      <c r="L38" s="12">
        <f t="shared" si="23"/>
        <v>-0.13606637001013847</v>
      </c>
      <c r="M38" s="12">
        <f t="shared" si="24"/>
        <v>-0.17093512105614539</v>
      </c>
      <c r="N38" s="12">
        <f t="shared" si="25"/>
        <v>-0.37370372283301784</v>
      </c>
      <c r="O38" s="12">
        <f t="shared" si="26"/>
        <v>3.7636328638875685</v>
      </c>
      <c r="P38" s="12">
        <f t="shared" si="27"/>
        <v>-1.189065115552339E-2</v>
      </c>
    </row>
    <row r="39" spans="11:16" ht="15" customHeight="1" x14ac:dyDescent="0.2">
      <c r="K39" s="13" t="s">
        <v>104</v>
      </c>
      <c r="L39" s="10">
        <f t="shared" si="23"/>
        <v>-0.32530985949923596</v>
      </c>
      <c r="M39" s="10">
        <f t="shared" si="24"/>
        <v>0.57495181013335139</v>
      </c>
      <c r="N39" s="10">
        <f t="shared" si="25"/>
        <v>0.22747305623233377</v>
      </c>
      <c r="O39" s="10">
        <f t="shared" si="26"/>
        <v>-1.4436779343208526</v>
      </c>
      <c r="P39" s="10">
        <f t="shared" si="27"/>
        <v>-0.7238182243225364</v>
      </c>
    </row>
    <row r="40" spans="11:16" ht="15" customHeight="1" x14ac:dyDescent="0.2">
      <c r="K40" s="13" t="s">
        <v>105</v>
      </c>
      <c r="L40" s="10">
        <f t="shared" si="23"/>
        <v>4.3652153143678249E-2</v>
      </c>
      <c r="M40" s="10">
        <f t="shared" si="24"/>
        <v>0.11103089108143396</v>
      </c>
      <c r="N40" s="10">
        <f t="shared" si="25"/>
        <v>-3.142233312512372</v>
      </c>
      <c r="O40" s="10">
        <f t="shared" si="26"/>
        <v>9.3447914071386489</v>
      </c>
      <c r="P40" s="10">
        <f t="shared" si="27"/>
        <v>2.4349419019204035</v>
      </c>
    </row>
    <row r="41" spans="11:16" ht="15" customHeight="1" x14ac:dyDescent="0.2">
      <c r="K41" s="13" t="s">
        <v>106</v>
      </c>
      <c r="L41" s="10">
        <f t="shared" si="23"/>
        <v>-6.7327352897561366E-2</v>
      </c>
      <c r="M41" s="10">
        <f t="shared" si="24"/>
        <v>0.33074522725506561</v>
      </c>
      <c r="N41" s="10">
        <f t="shared" si="25"/>
        <v>-1.7223221457356062</v>
      </c>
      <c r="O41" s="10">
        <f t="shared" si="26"/>
        <v>5.2693779635720057</v>
      </c>
      <c r="P41" s="10">
        <f t="shared" si="27"/>
        <v>0.39943197113918744</v>
      </c>
    </row>
    <row r="42" spans="11:16" ht="15" customHeight="1" x14ac:dyDescent="0.2">
      <c r="K42" s="14" t="s">
        <v>107</v>
      </c>
      <c r="L42" s="12">
        <f t="shared" si="23"/>
        <v>-0.22592565663410025</v>
      </c>
      <c r="M42" s="12">
        <f t="shared" si="24"/>
        <v>-7.3156327663493254E-2</v>
      </c>
      <c r="N42" s="12">
        <f t="shared" si="25"/>
        <v>-0.57426180554128714</v>
      </c>
      <c r="O42" s="12">
        <f t="shared" si="26"/>
        <v>5.1081181434101461</v>
      </c>
      <c r="P42" s="12">
        <f t="shared" si="27"/>
        <v>9.3096948895173059E-2</v>
      </c>
    </row>
  </sheetData>
  <mergeCells count="4">
    <mergeCell ref="A1:J1"/>
    <mergeCell ref="L1:T1"/>
    <mergeCell ref="A3:J3"/>
    <mergeCell ref="L24:T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1" sqref="A31"/>
    </sheetView>
  </sheetViews>
  <sheetFormatPr baseColWidth="10" defaultColWidth="8.6640625" defaultRowHeight="15" x14ac:dyDescent="0.2"/>
  <cols>
    <col min="1" max="1" width="65" customWidth="1"/>
    <col min="2" max="10" width="15" customWidth="1"/>
    <col min="11" max="11" width="40" customWidth="1"/>
    <col min="12" max="20" width="16" customWidth="1"/>
  </cols>
  <sheetData>
    <row r="1" spans="1:20" ht="21.75" customHeight="1" x14ac:dyDescent="0.2">
      <c r="A1" s="254" t="s">
        <v>108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109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5" t="s">
        <v>110</v>
      </c>
      <c r="B3" s="255"/>
      <c r="C3" s="255"/>
      <c r="D3" s="255"/>
      <c r="E3" s="255"/>
      <c r="F3" s="255"/>
      <c r="G3" s="255"/>
      <c r="H3" s="255"/>
      <c r="I3" s="255"/>
      <c r="J3" s="255"/>
    </row>
    <row r="4" spans="1:20" ht="15" customHeight="1" x14ac:dyDescent="0.2">
      <c r="A4" s="6" t="s">
        <v>111</v>
      </c>
      <c r="B4" s="11">
        <v>845427.56499999994</v>
      </c>
      <c r="C4" s="11">
        <v>1092178.7709999999</v>
      </c>
      <c r="D4" s="11">
        <v>834410.071</v>
      </c>
      <c r="E4" s="11">
        <v>900270.55900000001</v>
      </c>
      <c r="F4" s="11">
        <v>623547.73499999999</v>
      </c>
      <c r="G4" s="11">
        <v>1464627.1869999999</v>
      </c>
      <c r="H4" s="11">
        <v>1043955.9350000001</v>
      </c>
      <c r="I4" s="11">
        <v>170912.859</v>
      </c>
      <c r="J4" s="11">
        <v>156356.54199999999</v>
      </c>
    </row>
    <row r="5" spans="1:20" ht="15" customHeight="1" x14ac:dyDescent="0.2">
      <c r="A5" s="13" t="s">
        <v>112</v>
      </c>
      <c r="B5" s="9">
        <v>963755.73800000001</v>
      </c>
      <c r="C5" s="9">
        <v>812716.38500000001</v>
      </c>
      <c r="D5" s="9">
        <v>620904.52099999995</v>
      </c>
      <c r="E5" s="9">
        <v>560777.80200000003</v>
      </c>
      <c r="F5" s="9">
        <v>388407.37900000002</v>
      </c>
      <c r="G5" s="9">
        <v>380365.87900000002</v>
      </c>
      <c r="H5" s="9">
        <v>64577.671999999999</v>
      </c>
      <c r="I5" s="9">
        <v>63161.961000000003</v>
      </c>
      <c r="J5" s="9">
        <v>34544.684999999998</v>
      </c>
    </row>
    <row r="6" spans="1:20" ht="15" customHeight="1" x14ac:dyDescent="0.2">
      <c r="A6" s="13" t="s">
        <v>113</v>
      </c>
      <c r="B6" s="9">
        <v>20107.923999999999</v>
      </c>
      <c r="C6" s="9">
        <v>12896.045</v>
      </c>
      <c r="D6" s="9">
        <v>9852.4079999999994</v>
      </c>
      <c r="E6" s="9">
        <v>33146.902000000002</v>
      </c>
      <c r="F6" s="9">
        <v>22958.294000000002</v>
      </c>
      <c r="G6" s="9">
        <v>13004.746999999999</v>
      </c>
      <c r="H6" s="9">
        <v>1405.2090000000001</v>
      </c>
      <c r="I6" s="9">
        <v>11677.165000000001</v>
      </c>
      <c r="J6" s="9">
        <v>-110.232</v>
      </c>
    </row>
    <row r="7" spans="1:20" ht="15" customHeight="1" x14ac:dyDescent="0.2">
      <c r="A7" s="13" t="s">
        <v>114</v>
      </c>
      <c r="B7" s="9">
        <v>607627.28899999999</v>
      </c>
      <c r="C7" s="9">
        <v>627005.99699999997</v>
      </c>
      <c r="D7" s="9">
        <v>534652.179</v>
      </c>
      <c r="E7" s="9">
        <v>382028.83799999999</v>
      </c>
      <c r="F7" s="9">
        <v>262453.58399999997</v>
      </c>
      <c r="G7" s="9">
        <v>174805.80600000001</v>
      </c>
      <c r="H7" s="9">
        <v>-103795.67600000001</v>
      </c>
      <c r="I7" s="9">
        <v>101547.08500000001</v>
      </c>
      <c r="J7" s="9">
        <v>92925.322</v>
      </c>
    </row>
    <row r="8" spans="1:20" ht="15" customHeight="1" x14ac:dyDescent="0.2">
      <c r="A8" s="13" t="s">
        <v>115</v>
      </c>
      <c r="B8" s="9">
        <v>-746356.78599999996</v>
      </c>
      <c r="C8" s="9">
        <v>-313201.42200000002</v>
      </c>
      <c r="D8" s="9">
        <v>-239281.726</v>
      </c>
      <c r="E8" s="9">
        <v>474745.81599999999</v>
      </c>
      <c r="F8" s="9">
        <v>323838.86599999998</v>
      </c>
      <c r="G8" s="9">
        <v>-1798306.1869999999</v>
      </c>
      <c r="H8" s="9">
        <v>0</v>
      </c>
      <c r="I8" s="9">
        <v>0</v>
      </c>
      <c r="J8" s="9">
        <v>0</v>
      </c>
    </row>
    <row r="9" spans="1:20" ht="15" customHeight="1" x14ac:dyDescent="0.2">
      <c r="A9" s="13" t="s">
        <v>116</v>
      </c>
      <c r="B9" s="9">
        <v>-76683.407000000007</v>
      </c>
      <c r="C9" s="9">
        <v>-250756.50399999999</v>
      </c>
      <c r="D9" s="9">
        <v>-191574.63699999999</v>
      </c>
      <c r="E9" s="9">
        <v>461741.93699999998</v>
      </c>
      <c r="F9" s="9">
        <v>319812.90000000002</v>
      </c>
      <c r="G9" s="9">
        <v>634189.36699999997</v>
      </c>
      <c r="H9" s="9">
        <v>177579.128</v>
      </c>
      <c r="I9" s="9">
        <v>-10650.368</v>
      </c>
      <c r="J9" s="9">
        <v>14922.736999999999</v>
      </c>
    </row>
    <row r="10" spans="1:20" ht="15" customHeight="1" x14ac:dyDescent="0.2">
      <c r="A10" s="13" t="s">
        <v>117</v>
      </c>
      <c r="B10" s="9">
        <v>33838.034</v>
      </c>
      <c r="C10" s="9">
        <v>-26401.949000000001</v>
      </c>
      <c r="D10" s="9">
        <v>-75841.663</v>
      </c>
      <c r="E10" s="9">
        <v>55055.779000000002</v>
      </c>
      <c r="F10" s="9">
        <v>38133.057999999997</v>
      </c>
      <c r="G10" s="9">
        <v>-180477.87899999999</v>
      </c>
      <c r="H10" s="9">
        <v>-110935.932</v>
      </c>
      <c r="I10" s="9">
        <v>-17156.743999999999</v>
      </c>
      <c r="J10" s="9">
        <v>-26462.685000000001</v>
      </c>
    </row>
    <row r="11" spans="1:20" ht="15" customHeight="1" x14ac:dyDescent="0.2">
      <c r="A11" s="6" t="s">
        <v>118</v>
      </c>
      <c r="B11" s="11">
        <f t="shared" ref="B11:J11" si="0">SUM(B4:B10)</f>
        <v>1647716.3569999998</v>
      </c>
      <c r="C11" s="11">
        <f t="shared" si="0"/>
        <v>1954437.3229999996</v>
      </c>
      <c r="D11" s="11">
        <f t="shared" si="0"/>
        <v>1493121.1530000002</v>
      </c>
      <c r="E11" s="11">
        <f t="shared" si="0"/>
        <v>2867767.6329999999</v>
      </c>
      <c r="F11" s="11">
        <f t="shared" si="0"/>
        <v>1979151.8159999999</v>
      </c>
      <c r="G11" s="11">
        <f t="shared" si="0"/>
        <v>688208.92</v>
      </c>
      <c r="H11" s="11">
        <f t="shared" si="0"/>
        <v>1072786.3360000001</v>
      </c>
      <c r="I11" s="11">
        <f t="shared" si="0"/>
        <v>319491.95799999998</v>
      </c>
      <c r="J11" s="11">
        <f t="shared" si="0"/>
        <v>272176.36900000001</v>
      </c>
      <c r="L11" s="12">
        <f t="shared" ref="L11:T11" si="1">IFERROR(B11/B11,"")</f>
        <v>1</v>
      </c>
      <c r="M11" s="12">
        <f t="shared" si="1"/>
        <v>1</v>
      </c>
      <c r="N11" s="12">
        <f t="shared" si="1"/>
        <v>1</v>
      </c>
      <c r="O11" s="12">
        <f t="shared" si="1"/>
        <v>1</v>
      </c>
      <c r="P11" s="12">
        <f t="shared" si="1"/>
        <v>1</v>
      </c>
      <c r="Q11" s="12">
        <f t="shared" si="1"/>
        <v>1</v>
      </c>
      <c r="R11" s="12">
        <f t="shared" si="1"/>
        <v>1</v>
      </c>
      <c r="S11" s="12">
        <f t="shared" si="1"/>
        <v>1</v>
      </c>
      <c r="T11" s="12">
        <f t="shared" si="1"/>
        <v>1</v>
      </c>
    </row>
    <row r="12" spans="1:20" ht="15" customHeight="1" x14ac:dyDescent="0.2">
      <c r="A12" s="255" t="s">
        <v>119</v>
      </c>
      <c r="B12" s="255"/>
      <c r="C12" s="255"/>
      <c r="D12" s="255"/>
      <c r="E12" s="255"/>
      <c r="F12" s="255"/>
      <c r="G12" s="255"/>
      <c r="H12" s="255"/>
      <c r="I12" s="255"/>
      <c r="J12" s="255"/>
    </row>
    <row r="13" spans="1:20" ht="15" customHeight="1" x14ac:dyDescent="0.2">
      <c r="A13" s="13" t="s">
        <v>120</v>
      </c>
      <c r="B13" s="9">
        <v>-1613690.182</v>
      </c>
      <c r="C13" s="9">
        <v>-2624231.801</v>
      </c>
      <c r="D13" s="9">
        <v>-2004878.2350000001</v>
      </c>
      <c r="E13" s="9">
        <v>-1898584.6529999999</v>
      </c>
      <c r="F13" s="9">
        <v>-1332027.909</v>
      </c>
      <c r="G13" s="9">
        <v>-120188.28</v>
      </c>
      <c r="H13" s="9">
        <v>-140695.98000000001</v>
      </c>
      <c r="I13" s="9">
        <v>-83658.89</v>
      </c>
      <c r="J13" s="9">
        <v>-424660.50900000002</v>
      </c>
      <c r="L13" s="10">
        <f t="shared" ref="L13:T13" si="2">IFERROR(B13/B11,"")</f>
        <v>-0.97934949492038104</v>
      </c>
      <c r="M13" s="10">
        <f t="shared" si="2"/>
        <v>-1.3427045063649761</v>
      </c>
      <c r="N13" s="10">
        <f t="shared" si="2"/>
        <v>-1.3427431732326411</v>
      </c>
      <c r="O13" s="10">
        <f t="shared" si="2"/>
        <v>-0.66204270916255226</v>
      </c>
      <c r="P13" s="10">
        <f t="shared" si="2"/>
        <v>-0.67302967777990819</v>
      </c>
      <c r="Q13" s="10">
        <f t="shared" si="2"/>
        <v>-0.17463923600409015</v>
      </c>
      <c r="R13" s="10">
        <f t="shared" si="2"/>
        <v>-0.13115004850322776</v>
      </c>
      <c r="S13" s="10">
        <f t="shared" si="2"/>
        <v>-0.2618497520992375</v>
      </c>
      <c r="T13" s="10">
        <f t="shared" si="2"/>
        <v>-1.5602401874940142</v>
      </c>
    </row>
    <row r="14" spans="1:20" ht="15" customHeight="1" x14ac:dyDescent="0.2">
      <c r="A14" s="13" t="s">
        <v>121</v>
      </c>
      <c r="B14" s="9">
        <v>-633415.97199999995</v>
      </c>
      <c r="C14" s="9">
        <v>1375745.108</v>
      </c>
      <c r="D14" s="9">
        <v>1050861.713</v>
      </c>
      <c r="E14" s="9">
        <v>-1080199.365</v>
      </c>
      <c r="F14" s="9">
        <v>-731145.22100000002</v>
      </c>
      <c r="G14" s="9">
        <v>-369227.89399999997</v>
      </c>
      <c r="H14" s="9">
        <v>-117068.35</v>
      </c>
      <c r="I14" s="9">
        <v>152.45500000000001</v>
      </c>
      <c r="J14" s="9">
        <v>-1050</v>
      </c>
    </row>
    <row r="15" spans="1:20" ht="15" customHeight="1" x14ac:dyDescent="0.2">
      <c r="A15" s="6" t="s">
        <v>122</v>
      </c>
      <c r="B15" s="11">
        <f t="shared" ref="B15:J15" si="3">B13+B14</f>
        <v>-2247106.1540000001</v>
      </c>
      <c r="C15" s="11">
        <f t="shared" si="3"/>
        <v>-1248486.693</v>
      </c>
      <c r="D15" s="11">
        <f t="shared" si="3"/>
        <v>-954016.52200000011</v>
      </c>
      <c r="E15" s="11">
        <f t="shared" si="3"/>
        <v>-2978784.0180000002</v>
      </c>
      <c r="F15" s="11">
        <f t="shared" si="3"/>
        <v>-2063173.13</v>
      </c>
      <c r="G15" s="11">
        <f t="shared" si="3"/>
        <v>-489416.174</v>
      </c>
      <c r="H15" s="11">
        <f t="shared" si="3"/>
        <v>-257764.33000000002</v>
      </c>
      <c r="I15" s="11">
        <f t="shared" si="3"/>
        <v>-83506.434999999998</v>
      </c>
      <c r="J15" s="11">
        <f t="shared" si="3"/>
        <v>-425710.50900000002</v>
      </c>
      <c r="L15" s="12">
        <f t="shared" ref="L15:T15" si="4">IFERROR(B15/B11,"")</f>
        <v>-1.3637700108113937</v>
      </c>
      <c r="M15" s="12">
        <f t="shared" si="4"/>
        <v>-0.63879597381184483</v>
      </c>
      <c r="N15" s="12">
        <f t="shared" si="4"/>
        <v>-0.6389411335330536</v>
      </c>
      <c r="O15" s="12">
        <f t="shared" si="4"/>
        <v>-1.0387117783611586</v>
      </c>
      <c r="P15" s="12">
        <f t="shared" si="4"/>
        <v>-1.0424531929894154</v>
      </c>
      <c r="Q15" s="12">
        <f t="shared" si="4"/>
        <v>-0.71114476981786279</v>
      </c>
      <c r="R15" s="12">
        <f t="shared" si="4"/>
        <v>-0.24027555287579649</v>
      </c>
      <c r="S15" s="12">
        <f t="shared" si="4"/>
        <v>-0.26137257263921493</v>
      </c>
      <c r="T15" s="12">
        <f t="shared" si="4"/>
        <v>-1.5640979801593282</v>
      </c>
    </row>
    <row r="16" spans="1:20" ht="15" customHeight="1" x14ac:dyDescent="0.2">
      <c r="A16" s="255" t="s">
        <v>123</v>
      </c>
      <c r="B16" s="255"/>
      <c r="C16" s="255"/>
      <c r="D16" s="255"/>
      <c r="E16" s="255"/>
      <c r="F16" s="255"/>
      <c r="G16" s="255"/>
      <c r="H16" s="255"/>
      <c r="I16" s="255"/>
      <c r="J16" s="255"/>
    </row>
    <row r="17" spans="1:20" ht="15" customHeight="1" x14ac:dyDescent="0.2">
      <c r="A17" s="13" t="s">
        <v>124</v>
      </c>
      <c r="B17" s="9">
        <v>473391.15</v>
      </c>
      <c r="C17" s="9">
        <v>1716838.9450000001</v>
      </c>
      <c r="D17" s="9">
        <v>1311748.0719999999</v>
      </c>
      <c r="E17" s="9">
        <v>-138604.66899999999</v>
      </c>
      <c r="F17" s="9">
        <v>-96000.725999999995</v>
      </c>
      <c r="G17" s="9">
        <v>-434902.88500000001</v>
      </c>
      <c r="H17" s="9">
        <v>-267579.93199999997</v>
      </c>
      <c r="I17" s="9">
        <v>-58459.47</v>
      </c>
      <c r="J17" s="9">
        <v>86575.937999999995</v>
      </c>
      <c r="L17" s="10">
        <f t="shared" ref="L17:T17" si="5">IFERROR(B17/B11,"")</f>
        <v>0.28730135984199617</v>
      </c>
      <c r="M17" s="10">
        <f t="shared" si="5"/>
        <v>0.87843131360421756</v>
      </c>
      <c r="N17" s="10">
        <f t="shared" si="5"/>
        <v>0.87852755241221858</v>
      </c>
      <c r="O17" s="10">
        <f t="shared" si="5"/>
        <v>-4.8331903674847007E-2</v>
      </c>
      <c r="P17" s="10">
        <f t="shared" si="5"/>
        <v>-4.8505993943417626E-2</v>
      </c>
      <c r="Q17" s="10">
        <f t="shared" si="5"/>
        <v>-0.63193439137638607</v>
      </c>
      <c r="R17" s="10">
        <f t="shared" si="5"/>
        <v>-0.24942518656389742</v>
      </c>
      <c r="S17" s="10">
        <f t="shared" si="5"/>
        <v>-0.18297634270969665</v>
      </c>
      <c r="T17" s="10">
        <f t="shared" si="5"/>
        <v>0.31808763677055296</v>
      </c>
    </row>
    <row r="18" spans="1:20" ht="15" customHeight="1" x14ac:dyDescent="0.2">
      <c r="A18" s="13" t="s">
        <v>125</v>
      </c>
      <c r="B18" s="9">
        <v>-399509.41100000002</v>
      </c>
      <c r="C18" s="9">
        <v>-695610.95799999998</v>
      </c>
      <c r="D18" s="9">
        <v>-531437.53099999996</v>
      </c>
      <c r="E18" s="9">
        <v>-761888.11199999996</v>
      </c>
      <c r="F18" s="9">
        <v>-527700.92500000005</v>
      </c>
      <c r="G18" s="9">
        <v>-330599.53899999999</v>
      </c>
      <c r="H18" s="9">
        <v>-150000</v>
      </c>
      <c r="I18" s="9">
        <v>-100000</v>
      </c>
      <c r="J18" s="9">
        <v>-10000</v>
      </c>
      <c r="L18" s="10">
        <f t="shared" ref="L18:T18" si="6">IFERROR(B18/B11,"")</f>
        <v>-0.24246249016268037</v>
      </c>
      <c r="M18" s="10">
        <f t="shared" si="6"/>
        <v>-0.35591366876491037</v>
      </c>
      <c r="N18" s="10">
        <f t="shared" si="6"/>
        <v>-0.35592391811758084</v>
      </c>
      <c r="O18" s="10">
        <f t="shared" si="6"/>
        <v>-0.26567288898612101</v>
      </c>
      <c r="P18" s="10">
        <f t="shared" si="6"/>
        <v>-0.26662983644504817</v>
      </c>
      <c r="Q18" s="10">
        <f t="shared" si="6"/>
        <v>-0.48037671322249059</v>
      </c>
      <c r="R18" s="10">
        <f t="shared" si="6"/>
        <v>-0.13982280997285185</v>
      </c>
      <c r="S18" s="10">
        <f t="shared" si="6"/>
        <v>-0.3129969236972156</v>
      </c>
      <c r="T18" s="10">
        <f t="shared" si="6"/>
        <v>-3.6740882526800113E-2</v>
      </c>
    </row>
    <row r="19" spans="1:20" ht="15" customHeight="1" x14ac:dyDescent="0.2">
      <c r="A19" s="13" t="s">
        <v>126</v>
      </c>
      <c r="B19" s="9">
        <v>-169507.78700000001</v>
      </c>
      <c r="C19" s="9">
        <v>-91454.398000000001</v>
      </c>
      <c r="D19" s="9">
        <v>-79869.945999999996</v>
      </c>
      <c r="E19" s="9">
        <v>-28132.367999999999</v>
      </c>
      <c r="F19" s="9">
        <v>-12356.257</v>
      </c>
      <c r="G19" s="9">
        <v>-112400.841</v>
      </c>
      <c r="H19" s="9">
        <v>-47559.885999999999</v>
      </c>
      <c r="I19" s="9">
        <v>-37842.211000000003</v>
      </c>
      <c r="J19" s="9">
        <v>-10090.075999999999</v>
      </c>
    </row>
    <row r="20" spans="1:20" ht="15" customHeight="1" x14ac:dyDescent="0.2">
      <c r="A20" s="6" t="s">
        <v>127</v>
      </c>
      <c r="B20" s="11">
        <f t="shared" ref="B20:J20" si="7">SUM(B17:B19)</f>
        <v>-95626.04800000001</v>
      </c>
      <c r="C20" s="11">
        <f t="shared" si="7"/>
        <v>929773.58900000004</v>
      </c>
      <c r="D20" s="11">
        <f t="shared" si="7"/>
        <v>700440.59499999997</v>
      </c>
      <c r="E20" s="11">
        <f t="shared" si="7"/>
        <v>-928625.14899999998</v>
      </c>
      <c r="F20" s="11">
        <f t="shared" si="7"/>
        <v>-636057.90800000005</v>
      </c>
      <c r="G20" s="11">
        <f t="shared" si="7"/>
        <v>-877903.26500000001</v>
      </c>
      <c r="H20" s="11">
        <f t="shared" si="7"/>
        <v>-465139.81799999997</v>
      </c>
      <c r="I20" s="11">
        <f t="shared" si="7"/>
        <v>-196301.68100000001</v>
      </c>
      <c r="J20" s="11">
        <f t="shared" si="7"/>
        <v>66485.861999999994</v>
      </c>
      <c r="L20" s="12">
        <f t="shared" ref="L20:T20" si="8">IFERROR(B20/B11,"")</f>
        <v>-5.8035503255005935E-2</v>
      </c>
      <c r="M20" s="12">
        <f t="shared" si="8"/>
        <v>0.47572443386049695</v>
      </c>
      <c r="N20" s="12">
        <f t="shared" si="8"/>
        <v>0.46911169505077654</v>
      </c>
      <c r="O20" s="12">
        <f t="shared" si="8"/>
        <v>-0.3238146418538646</v>
      </c>
      <c r="P20" s="12">
        <f t="shared" si="8"/>
        <v>-0.32137903866592521</v>
      </c>
      <c r="Q20" s="12">
        <f t="shared" si="8"/>
        <v>-1.2756348246692297</v>
      </c>
      <c r="R20" s="12">
        <f t="shared" si="8"/>
        <v>-0.43358104255347257</v>
      </c>
      <c r="S20" s="12">
        <f t="shared" si="8"/>
        <v>-0.61441822269592161</v>
      </c>
      <c r="T20" s="12">
        <f t="shared" si="8"/>
        <v>0.24427492454350433</v>
      </c>
    </row>
    <row r="21" spans="1:20" ht="15" customHeight="1" x14ac:dyDescent="0.2">
      <c r="A21" s="8" t="s">
        <v>128</v>
      </c>
      <c r="B21" s="9">
        <v>-85066.781000000003</v>
      </c>
      <c r="C21" s="9">
        <v>-71183.486999999994</v>
      </c>
      <c r="D21" s="9">
        <v>-54383.239000000001</v>
      </c>
      <c r="E21" s="9">
        <v>-846022.19499999995</v>
      </c>
      <c r="F21" s="9">
        <v>-585974.09199999995</v>
      </c>
      <c r="G21" s="9">
        <v>1057991.3859999999</v>
      </c>
      <c r="H21" s="9">
        <v>0</v>
      </c>
      <c r="I21" s="9">
        <v>0</v>
      </c>
      <c r="J21" s="9">
        <v>0</v>
      </c>
    </row>
    <row r="22" spans="1:20" ht="15" customHeight="1" x14ac:dyDescent="0.2">
      <c r="A22" s="8" t="s">
        <v>129</v>
      </c>
      <c r="B22" s="9">
        <v>251605.04300000001</v>
      </c>
      <c r="C22" s="9">
        <v>24996.678</v>
      </c>
      <c r="D22" s="9">
        <v>19097.131000000001</v>
      </c>
      <c r="E22" s="9">
        <v>421929.74400000001</v>
      </c>
      <c r="F22" s="9">
        <v>292238.07699999999</v>
      </c>
      <c r="G22" s="9">
        <v>270724.788</v>
      </c>
      <c r="H22" s="9">
        <v>144048.32399999999</v>
      </c>
      <c r="I22" s="9">
        <v>53124.900999999998</v>
      </c>
      <c r="J22" s="9">
        <v>20493.323</v>
      </c>
    </row>
    <row r="23" spans="1:20" ht="15" customHeight="1" x14ac:dyDescent="0.2">
      <c r="A23" s="6" t="s">
        <v>130</v>
      </c>
      <c r="B23" s="11">
        <f t="shared" ref="B23:J23" si="9">B11+B15+B20+B21+B22</f>
        <v>-528477.5830000001</v>
      </c>
      <c r="C23" s="11">
        <f t="shared" si="9"/>
        <v>1589537.4099999997</v>
      </c>
      <c r="D23" s="11">
        <f t="shared" si="9"/>
        <v>1204259.118</v>
      </c>
      <c r="E23" s="11">
        <f t="shared" si="9"/>
        <v>-1463733.9850000003</v>
      </c>
      <c r="F23" s="11">
        <f t="shared" si="9"/>
        <v>-1013815.237</v>
      </c>
      <c r="G23" s="11">
        <f t="shared" si="9"/>
        <v>649605.65500000003</v>
      </c>
      <c r="H23" s="11">
        <f t="shared" si="9"/>
        <v>493930.5120000001</v>
      </c>
      <c r="I23" s="11">
        <f t="shared" si="9"/>
        <v>92808.742999999973</v>
      </c>
      <c r="J23" s="11">
        <f t="shared" si="9"/>
        <v>-66554.955000000016</v>
      </c>
      <c r="L23" s="12">
        <f t="shared" ref="L23:T23" si="10">IFERROR(B23/B11,"")</f>
        <v>-0.32073334755394439</v>
      </c>
      <c r="M23" s="12">
        <f t="shared" si="10"/>
        <v>0.8132966922470094</v>
      </c>
      <c r="N23" s="12">
        <f t="shared" si="10"/>
        <v>0.806538113521723</v>
      </c>
      <c r="O23" s="12">
        <f t="shared" si="10"/>
        <v>-0.51040885187366936</v>
      </c>
      <c r="P23" s="12">
        <f t="shared" si="10"/>
        <v>-0.51224733181357929</v>
      </c>
      <c r="Q23" s="12">
        <f t="shared" si="10"/>
        <v>0.94390763636135377</v>
      </c>
      <c r="R23" s="12">
        <f t="shared" si="10"/>
        <v>0.46041834746112953</v>
      </c>
      <c r="S23" s="12">
        <f t="shared" si="10"/>
        <v>0.29048851051205482</v>
      </c>
      <c r="T23" s="12">
        <f t="shared" si="10"/>
        <v>-0.24452877832314684</v>
      </c>
    </row>
    <row r="24" spans="1:20" ht="15" customHeight="1" x14ac:dyDescent="0.2">
      <c r="A24" s="8" t="s">
        <v>131</v>
      </c>
      <c r="B24" s="9">
        <v>1714149.0730000001</v>
      </c>
      <c r="C24" s="9">
        <v>124611.663</v>
      </c>
      <c r="D24" s="9">
        <v>95201.654999999999</v>
      </c>
      <c r="E24" s="9">
        <v>1558935.64</v>
      </c>
      <c r="F24" s="9">
        <v>1079754.0549999999</v>
      </c>
      <c r="G24" s="9">
        <v>430148.26500000001</v>
      </c>
      <c r="H24" s="9">
        <v>158918.753</v>
      </c>
      <c r="I24" s="9">
        <v>66110.009999999995</v>
      </c>
      <c r="J24" s="9">
        <v>132664.965</v>
      </c>
      <c r="L24" s="10">
        <f t="shared" ref="L24:T24" si="11">IFERROR(B24/B11,"")</f>
        <v>1.0403180533577723</v>
      </c>
      <c r="M24" s="10">
        <f t="shared" si="11"/>
        <v>6.3758331635176219E-2</v>
      </c>
      <c r="N24" s="10">
        <f t="shared" si="11"/>
        <v>6.376016762519203E-2</v>
      </c>
      <c r="O24" s="10">
        <f t="shared" si="11"/>
        <v>0.54360598190069609</v>
      </c>
      <c r="P24" s="10">
        <f t="shared" si="11"/>
        <v>0.54556403721582925</v>
      </c>
      <c r="Q24" s="10">
        <f t="shared" si="11"/>
        <v>0.62502570440383132</v>
      </c>
      <c r="R24" s="10">
        <f t="shared" si="11"/>
        <v>0.14813644401227719</v>
      </c>
      <c r="S24" s="10">
        <f t="shared" si="11"/>
        <v>0.20692229755592156</v>
      </c>
      <c r="T24" s="10">
        <f t="shared" si="11"/>
        <v>0.48742278944870482</v>
      </c>
    </row>
    <row r="25" spans="1:20" ht="15" customHeight="1" x14ac:dyDescent="0.2">
      <c r="A25" s="6" t="s">
        <v>132</v>
      </c>
      <c r="B25" s="11">
        <f t="shared" ref="B25:J25" si="12">B24+B23</f>
        <v>1185671.49</v>
      </c>
      <c r="C25" s="11">
        <f t="shared" si="12"/>
        <v>1714149.0729999996</v>
      </c>
      <c r="D25" s="11">
        <f t="shared" si="12"/>
        <v>1299460.773</v>
      </c>
      <c r="E25" s="11">
        <f t="shared" si="12"/>
        <v>95201.654999999562</v>
      </c>
      <c r="F25" s="11">
        <f t="shared" si="12"/>
        <v>65938.81799999997</v>
      </c>
      <c r="G25" s="11">
        <f t="shared" si="12"/>
        <v>1079753.92</v>
      </c>
      <c r="H25" s="11">
        <f t="shared" si="12"/>
        <v>652849.26500000013</v>
      </c>
      <c r="I25" s="11">
        <f t="shared" si="12"/>
        <v>158918.75299999997</v>
      </c>
      <c r="J25" s="11">
        <f t="shared" si="12"/>
        <v>66110.00999999998</v>
      </c>
      <c r="L25" s="12">
        <f t="shared" ref="L25:T25" si="13">IFERROR(B25/B11,"")</f>
        <v>0.71958470580382794</v>
      </c>
      <c r="M25" s="12">
        <f t="shared" si="13"/>
        <v>0.87705502388218559</v>
      </c>
      <c r="N25" s="12">
        <f t="shared" si="13"/>
        <v>0.87029828114691499</v>
      </c>
      <c r="O25" s="12">
        <f t="shared" si="13"/>
        <v>3.3197130027026692E-2</v>
      </c>
      <c r="P25" s="12">
        <f t="shared" si="13"/>
        <v>3.3316705402249937E-2</v>
      </c>
      <c r="Q25" s="12">
        <f t="shared" si="13"/>
        <v>1.5689333407651849</v>
      </c>
      <c r="R25" s="12">
        <f t="shared" si="13"/>
        <v>0.60855479147340674</v>
      </c>
      <c r="S25" s="12">
        <f t="shared" si="13"/>
        <v>0.49741080806797638</v>
      </c>
      <c r="T25" s="12">
        <f t="shared" si="13"/>
        <v>0.242894011125558</v>
      </c>
    </row>
    <row r="26" spans="1:20" ht="15" customHeight="1" x14ac:dyDescent="0.2"/>
    <row r="27" spans="1:20" ht="15" customHeight="1" x14ac:dyDescent="0.2"/>
    <row r="29" spans="1:20" ht="27.75" customHeight="1" x14ac:dyDescent="0.2">
      <c r="A29" s="252" t="s">
        <v>133</v>
      </c>
      <c r="B29" s="252"/>
      <c r="C29" s="252"/>
      <c r="D29" s="252"/>
      <c r="E29" s="252"/>
      <c r="F29" s="252"/>
      <c r="G29" s="252"/>
      <c r="H29" s="252"/>
      <c r="I29" s="252"/>
      <c r="J29" s="252"/>
      <c r="L29" s="254" t="s">
        <v>44</v>
      </c>
      <c r="M29" s="254"/>
      <c r="N29" s="254"/>
      <c r="O29" s="254"/>
      <c r="P29" s="254"/>
      <c r="Q29" s="254"/>
      <c r="R29" s="254"/>
      <c r="S29" s="254"/>
      <c r="T29" s="254"/>
    </row>
    <row r="30" spans="1:20" ht="27.75" customHeight="1" x14ac:dyDescent="0.2">
      <c r="K30" s="6" t="s">
        <v>45</v>
      </c>
      <c r="L30" s="7" t="s">
        <v>46</v>
      </c>
      <c r="M30" s="7" t="s">
        <v>47</v>
      </c>
      <c r="N30" s="7" t="s">
        <v>48</v>
      </c>
      <c r="O30" s="7" t="s">
        <v>49</v>
      </c>
      <c r="P30" s="7" t="s">
        <v>50</v>
      </c>
    </row>
    <row r="31" spans="1:20" ht="15" customHeight="1" x14ac:dyDescent="0.2">
      <c r="K31" s="14" t="s">
        <v>134</v>
      </c>
      <c r="L31" s="12">
        <f>IFERROR((B11-C11)/ABS(C11),"-")</f>
        <v>-0.15693568803178234</v>
      </c>
      <c r="M31" s="12">
        <f>IFERROR((D11-E11)/ABS(E11),"-")</f>
        <v>-0.47934374604889746</v>
      </c>
      <c r="N31" s="12">
        <f>IFERROR((F11-G11)/ABS(G11),"-")</f>
        <v>1.875800877442855</v>
      </c>
      <c r="O31" s="12">
        <f>IFERROR((H11-I11)/ABS(I11),"-")</f>
        <v>2.3577882295240751</v>
      </c>
      <c r="P31" s="12">
        <f>IFERROR((I11-J11)/ABS(J11),"-")</f>
        <v>0.17384164971353547</v>
      </c>
    </row>
    <row r="32" spans="1:20" ht="15" customHeight="1" x14ac:dyDescent="0.2">
      <c r="K32" s="13" t="s">
        <v>135</v>
      </c>
      <c r="L32" s="10">
        <f>IFERROR((B13-C13)/ABS(C13),"-")</f>
        <v>0.38508092867974508</v>
      </c>
      <c r="M32" s="10">
        <f>IFERROR((D13-E13)/ABS(E13),"-")</f>
        <v>-5.5985695361038069E-2</v>
      </c>
      <c r="N32" s="10">
        <f>IFERROR((F13-G13)/ABS(G13),"-")</f>
        <v>-10.082843593401952</v>
      </c>
      <c r="O32" s="10">
        <f>IFERROR((H13-I13)/ABS(I13),"-")</f>
        <v>-0.68178157754663027</v>
      </c>
      <c r="P32" s="10">
        <f>IFERROR((I13-J13)/ABS(J13),"-")</f>
        <v>0.8029981874297617</v>
      </c>
    </row>
    <row r="33" spans="1:16" ht="15" customHeight="1" x14ac:dyDescent="0.2">
      <c r="K33" s="14" t="s">
        <v>136</v>
      </c>
      <c r="L33" s="12">
        <f>IFERROR((B15-C15)/ABS(C15),"-")</f>
        <v>-0.79986392053599575</v>
      </c>
      <c r="M33" s="12">
        <f>IFERROR((D15-E15)/ABS(E15),"-")</f>
        <v>0.67972954190866752</v>
      </c>
      <c r="N33" s="12">
        <f>IFERROR((F15-G15)/ABS(G15),"-")</f>
        <v>-3.2155801945360305</v>
      </c>
      <c r="O33" s="12">
        <f>IFERROR((H15-I15)/ABS(I15),"-")</f>
        <v>-2.0867600802261528</v>
      </c>
      <c r="P33" s="12">
        <f>IFERROR((I15-J15)/ABS(J15),"-")</f>
        <v>0.80384220442159671</v>
      </c>
    </row>
    <row r="34" spans="1:16" ht="15" customHeight="1" x14ac:dyDescent="0.2">
      <c r="K34" s="13" t="s">
        <v>137</v>
      </c>
      <c r="L34" s="10">
        <f>IFERROR((B17-C17)/ABS(C17),"-")</f>
        <v>-0.72426583671189959</v>
      </c>
      <c r="M34" s="10">
        <f>IFERROR((D17-E17)/ABS(E17),"-")</f>
        <v>10.463952992810077</v>
      </c>
      <c r="N34" s="10">
        <f>IFERROR((F17-G17)/ABS(G17),"-")</f>
        <v>0.77925939488766549</v>
      </c>
      <c r="O34" s="10">
        <f>IFERROR((H17-I17)/ABS(I17),"-")</f>
        <v>-3.5771871007383402</v>
      </c>
      <c r="P34" s="10">
        <f>IFERROR((I17-J17)/ABS(J17),"-")</f>
        <v>-1.6752392333306283</v>
      </c>
    </row>
    <row r="35" spans="1:16" ht="15" customHeight="1" x14ac:dyDescent="0.2">
      <c r="K35" s="13" t="s">
        <v>138</v>
      </c>
      <c r="L35" s="10">
        <f>IFERROR((B18-C18)/ABS(C18),"-")</f>
        <v>0.4256711939261888</v>
      </c>
      <c r="M35" s="10">
        <f>IFERROR((D18-E18)/ABS(E18),"-")</f>
        <v>0.30247299750491452</v>
      </c>
      <c r="N35" s="10">
        <f>IFERROR((F18-G18)/ABS(G18),"-")</f>
        <v>-0.59619377146197428</v>
      </c>
      <c r="O35" s="10">
        <f>IFERROR((H18-I18)/ABS(I18),"-")</f>
        <v>-0.5</v>
      </c>
      <c r="P35" s="10">
        <f>IFERROR((I18-J18)/ABS(J18),"-")</f>
        <v>-9</v>
      </c>
    </row>
    <row r="36" spans="1:16" ht="15" customHeight="1" x14ac:dyDescent="0.2">
      <c r="K36" s="14" t="s">
        <v>139</v>
      </c>
      <c r="L36" s="12">
        <f>IFERROR((B20-C20)/ABS(C20),"-")</f>
        <v>-1.1028487463306511</v>
      </c>
      <c r="M36" s="12">
        <f>IFERROR((D20-E20)/ABS(E20),"-")</f>
        <v>1.7542770037557964</v>
      </c>
      <c r="N36" s="12">
        <f>IFERROR((F20-G20)/ABS(G20),"-")</f>
        <v>0.27548064421425744</v>
      </c>
      <c r="O36" s="12">
        <f>IFERROR((H20-I20)/ABS(I20),"-")</f>
        <v>-1.3695152055269459</v>
      </c>
      <c r="P36" s="12">
        <f>IFERROR((I20-J20)/ABS(J20),"-")</f>
        <v>-3.9525326903334732</v>
      </c>
    </row>
    <row r="37" spans="1:16" ht="15" customHeight="1" x14ac:dyDescent="0.2">
      <c r="K37" s="14" t="s">
        <v>140</v>
      </c>
      <c r="L37" s="12">
        <f>IFERROR((B23-C23)/ABS(C23),"-")</f>
        <v>-1.3324725669715445</v>
      </c>
      <c r="M37" s="12">
        <f>IFERROR((D23-E23)/ABS(E23),"-")</f>
        <v>1.8227308584353183</v>
      </c>
      <c r="N37" s="12">
        <f>IFERROR((F23-G23)/ABS(G23),"-")</f>
        <v>-2.5606625792073805</v>
      </c>
      <c r="O37" s="12">
        <f t="shared" ref="O37:P39" si="14">IFERROR((H23-I23)/ABS(I23),"-")</f>
        <v>4.322025663034788</v>
      </c>
      <c r="P37" s="12">
        <f t="shared" si="14"/>
        <v>2.3944678198640497</v>
      </c>
    </row>
    <row r="38" spans="1:16" ht="15" customHeight="1" x14ac:dyDescent="0.2">
      <c r="K38" s="13" t="s">
        <v>141</v>
      </c>
      <c r="L38" s="10">
        <f>IFERROR((B24-C24)/ABS(C24),"-")</f>
        <v>12.755928070713574</v>
      </c>
      <c r="M38" s="10">
        <f>IFERROR((D24-E24)/ABS(E24),"-")</f>
        <v>-0.93893163222568954</v>
      </c>
      <c r="N38" s="10">
        <f>IFERROR((F24-G24)/ABS(G24),"-")</f>
        <v>1.5101904223651812</v>
      </c>
      <c r="O38" s="10">
        <f t="shared" si="14"/>
        <v>1.4038531078727716</v>
      </c>
      <c r="P38" s="10">
        <f t="shared" si="14"/>
        <v>-0.50167694990158107</v>
      </c>
    </row>
    <row r="39" spans="1:16" ht="15" customHeight="1" x14ac:dyDescent="0.2">
      <c r="K39" s="14" t="s">
        <v>142</v>
      </c>
      <c r="L39" s="12">
        <f>IFERROR((B25-C25)/ABS(C25),"-")</f>
        <v>-0.3083031641320963</v>
      </c>
      <c r="M39" s="12">
        <f>IFERROR((D25-E25)/ABS(E25),"-")</f>
        <v>12.64956074555643</v>
      </c>
      <c r="N39" s="12">
        <f>IFERROR((F25-G25)/ABS(G25),"-")</f>
        <v>-0.93893162434640665</v>
      </c>
      <c r="O39" s="12">
        <f t="shared" si="14"/>
        <v>3.1080693919112257</v>
      </c>
      <c r="P39" s="12">
        <f t="shared" si="14"/>
        <v>1.4038531078727716</v>
      </c>
    </row>
    <row r="41" spans="1:16" ht="15" customHeight="1" x14ac:dyDescent="0.2">
      <c r="A41" s="1" t="s">
        <v>143</v>
      </c>
    </row>
    <row r="42" spans="1:16" ht="18" customHeight="1" x14ac:dyDescent="0.2">
      <c r="A42" s="252" t="s">
        <v>144</v>
      </c>
      <c r="B42" s="252"/>
      <c r="C42" s="252"/>
      <c r="D42" s="252"/>
      <c r="E42" s="252"/>
      <c r="F42" s="252"/>
      <c r="G42" s="252"/>
      <c r="H42" s="252"/>
      <c r="I42" s="252"/>
      <c r="J42" s="252"/>
    </row>
    <row r="43" spans="1:16" ht="18" customHeight="1" x14ac:dyDescent="0.2">
      <c r="A43" s="252" t="s">
        <v>145</v>
      </c>
      <c r="B43" s="252"/>
      <c r="C43" s="252"/>
      <c r="D43" s="252"/>
      <c r="E43" s="252"/>
      <c r="F43" s="252"/>
      <c r="G43" s="252"/>
      <c r="H43" s="252"/>
      <c r="I43" s="252"/>
      <c r="J43" s="252"/>
    </row>
    <row r="44" spans="1:16" ht="18" customHeight="1" x14ac:dyDescent="0.2">
      <c r="A44" s="252" t="s">
        <v>146</v>
      </c>
      <c r="B44" s="252"/>
      <c r="C44" s="252"/>
      <c r="D44" s="252"/>
      <c r="E44" s="252"/>
      <c r="F44" s="252"/>
      <c r="G44" s="252"/>
      <c r="H44" s="252"/>
      <c r="I44" s="252"/>
      <c r="J44" s="252"/>
    </row>
    <row r="45" spans="1:16" ht="18" customHeight="1" x14ac:dyDescent="0.2">
      <c r="A45" s="252" t="s">
        <v>147</v>
      </c>
      <c r="B45" s="252"/>
      <c r="C45" s="252"/>
      <c r="D45" s="252"/>
      <c r="E45" s="252"/>
      <c r="F45" s="252"/>
      <c r="G45" s="252"/>
      <c r="H45" s="252"/>
      <c r="I45" s="252"/>
      <c r="J45" s="252"/>
    </row>
  </sheetData>
  <mergeCells count="11">
    <mergeCell ref="A1:J1"/>
    <mergeCell ref="L1:T1"/>
    <mergeCell ref="A3:J3"/>
    <mergeCell ref="A12:J12"/>
    <mergeCell ref="A16:J16"/>
    <mergeCell ref="A45:J45"/>
    <mergeCell ref="A29:J29"/>
    <mergeCell ref="L29:T29"/>
    <mergeCell ref="A42:J42"/>
    <mergeCell ref="A43:J43"/>
    <mergeCell ref="A44:J4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53" sqref="E53"/>
    </sheetView>
  </sheetViews>
  <sheetFormatPr baseColWidth="10" defaultColWidth="8.6640625" defaultRowHeight="15" x14ac:dyDescent="0.2"/>
  <cols>
    <col min="1" max="1" width="53" customWidth="1"/>
    <col min="2" max="2" width="47" customWidth="1"/>
    <col min="3" max="3" width="29" customWidth="1"/>
    <col min="4" max="10" width="15" customWidth="1"/>
  </cols>
  <sheetData>
    <row r="1" spans="1:9" ht="21.75" customHeight="1" x14ac:dyDescent="0.2">
      <c r="A1" s="254" t="s">
        <v>148</v>
      </c>
      <c r="B1" s="254"/>
      <c r="C1" s="254"/>
      <c r="D1" s="254"/>
      <c r="E1" s="254"/>
      <c r="F1" s="254"/>
      <c r="G1" s="254"/>
      <c r="H1" s="254"/>
      <c r="I1" s="254"/>
    </row>
    <row r="2" spans="1:9" ht="27.75" customHeight="1" x14ac:dyDescent="0.2">
      <c r="A2" s="6" t="s">
        <v>149</v>
      </c>
      <c r="B2" s="6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</row>
    <row r="3" spans="1:9" ht="15" customHeight="1" x14ac:dyDescent="0.2">
      <c r="A3" s="253" t="s">
        <v>158</v>
      </c>
      <c r="B3" s="253"/>
      <c r="C3" s="253"/>
      <c r="D3" s="253"/>
      <c r="E3" s="253"/>
      <c r="F3" s="253"/>
      <c r="G3" s="253"/>
      <c r="H3" s="253"/>
      <c r="I3" s="253"/>
    </row>
    <row r="4" spans="1:9" ht="15" customHeight="1" x14ac:dyDescent="0.2">
      <c r="A4" s="8" t="s">
        <v>159</v>
      </c>
      <c r="B4" s="16" t="s">
        <v>160</v>
      </c>
      <c r="C4" s="17" t="s">
        <v>161</v>
      </c>
      <c r="D4" s="18">
        <f>IFERROR(GWIND_BS!B10/GWIND_BS!B22,"-")</f>
        <v>2.4727970550057803</v>
      </c>
      <c r="E4" s="18">
        <f>IFERROR(GWIND_BS!D10/GWIND_BS!D22,"-")</f>
        <v>2.0044354621223603</v>
      </c>
      <c r="F4" s="18">
        <f>IFERROR(GWIND_BS!F10/GWIND_BS!F22,"-")</f>
        <v>0.83574765390803663</v>
      </c>
      <c r="G4" s="18">
        <f>IFERROR(GWIND_BS!H10/GWIND_BS!H22,"-")</f>
        <v>8.4641166893396882</v>
      </c>
      <c r="H4" s="18">
        <f>IFERROR(GWIND_BS!I10/GWIND_BS!I22,"-")</f>
        <v>1.3507889983844685</v>
      </c>
      <c r="I4" s="18">
        <f>IFERROR(GWIND_BS!J10/GWIND_BS!J22,"-")</f>
        <v>0.56693727262975013</v>
      </c>
    </row>
    <row r="5" spans="1:9" ht="15" customHeight="1" x14ac:dyDescent="0.2">
      <c r="A5" s="8" t="s">
        <v>162</v>
      </c>
      <c r="B5" s="16" t="s">
        <v>163</v>
      </c>
      <c r="C5" s="17" t="s">
        <v>164</v>
      </c>
      <c r="D5" s="18">
        <f>IFERROR((GWIND_BS!B10-GWIND_BS!B8)/GWIND_BS!B22,"-")</f>
        <v>2.4678180134752297</v>
      </c>
      <c r="E5" s="18">
        <f>IFERROR((GWIND_BS!D10-GWIND_BS!D8)/GWIND_BS!D22,"-")</f>
        <v>1.995648008596655</v>
      </c>
      <c r="F5" s="18">
        <f>IFERROR((GWIND_BS!F10-GWIND_BS!F8)/GWIND_BS!F22,"-")</f>
        <v>0.82317280581640317</v>
      </c>
      <c r="G5" s="18">
        <f>IFERROR((GWIND_BS!H10-GWIND_BS!H8)/GWIND_BS!H22,"-")</f>
        <v>8.4564876197811767</v>
      </c>
      <c r="H5" s="18">
        <f>IFERROR((GWIND_BS!I10-GWIND_BS!I8)/GWIND_BS!I22,"-")</f>
        <v>1.3478900899384694</v>
      </c>
      <c r="I5" s="18">
        <f>IFERROR((GWIND_BS!J10-GWIND_BS!J8)/GWIND_BS!J22,"-")</f>
        <v>0.5614331063480773</v>
      </c>
    </row>
    <row r="6" spans="1:9" ht="15" customHeight="1" x14ac:dyDescent="0.2">
      <c r="A6" s="8" t="s">
        <v>165</v>
      </c>
      <c r="B6" s="16" t="s">
        <v>166</v>
      </c>
      <c r="C6" s="17" t="s">
        <v>167</v>
      </c>
      <c r="D6" s="18">
        <f>IFERROR((GWIND_BS!B5+GWIND_BS!B6)/GWIND_BS!B22,"-")</f>
        <v>2.0786885687239232</v>
      </c>
      <c r="E6" s="18">
        <f>IFERROR((GWIND_BS!D5+GWIND_BS!D6)/GWIND_BS!D22,"-")</f>
        <v>1.6338538005405583</v>
      </c>
      <c r="F6" s="18">
        <f>IFERROR((GWIND_BS!F5+GWIND_BS!F6)/GWIND_BS!F22,"-")</f>
        <v>0.39505315896686949</v>
      </c>
      <c r="G6" s="18">
        <f>IFERROR((GWIND_BS!H5+GWIND_BS!H6)/GWIND_BS!H22,"-")</f>
        <v>6.8526787385804848</v>
      </c>
      <c r="H6" s="18">
        <f>IFERROR((GWIND_BS!I5+GWIND_BS!I6)/GWIND_BS!I22,"-")</f>
        <v>0.55171223230861099</v>
      </c>
      <c r="I6" s="18">
        <f>IFERROR((GWIND_BS!J5+GWIND_BS!J6)/GWIND_BS!J22,"-")</f>
        <v>0.21859833890892694</v>
      </c>
    </row>
    <row r="7" spans="1:9" ht="15" customHeight="1" x14ac:dyDescent="0.2">
      <c r="A7" s="253" t="s">
        <v>168</v>
      </c>
      <c r="B7" s="253"/>
      <c r="C7" s="253"/>
      <c r="D7" s="253"/>
      <c r="E7" s="253"/>
      <c r="F7" s="253"/>
      <c r="G7" s="253"/>
      <c r="H7" s="253"/>
      <c r="I7" s="253"/>
    </row>
    <row r="8" spans="1:9" ht="15" customHeight="1" x14ac:dyDescent="0.2">
      <c r="A8" s="8" t="s">
        <v>169</v>
      </c>
      <c r="B8" s="16" t="s">
        <v>170</v>
      </c>
      <c r="C8" s="17" t="s">
        <v>171</v>
      </c>
      <c r="D8" s="10">
        <f>IFERROR(GWIND_BS!B27/GWIND_BS!B16,"-")</f>
        <v>0.30530174971562418</v>
      </c>
      <c r="E8" s="10">
        <f>IFERROR(GWIND_BS!D27/GWIND_BS!D16,"-")</f>
        <v>0.2939233406996728</v>
      </c>
      <c r="F8" s="10">
        <f>IFERROR(GWIND_BS!F27/GWIND_BS!F16,"-")</f>
        <v>0.2321889732910801</v>
      </c>
      <c r="G8" s="10">
        <f>IFERROR(GWIND_BS!H27/GWIND_BS!H16,"-")</f>
        <v>0.23359177036385026</v>
      </c>
      <c r="H8" s="10">
        <f>IFERROR(GWIND_BS!I27/GWIND_BS!I16,"-")</f>
        <v>0.43556543545780002</v>
      </c>
      <c r="I8" s="10">
        <f>IFERROR(GWIND_BS!J27/GWIND_BS!J16,"-")</f>
        <v>0.42784974816777377</v>
      </c>
    </row>
    <row r="9" spans="1:9" ht="15" customHeight="1" x14ac:dyDescent="0.2">
      <c r="A9" s="8" t="s">
        <v>172</v>
      </c>
      <c r="B9" s="16" t="s">
        <v>173</v>
      </c>
      <c r="C9" s="17" t="s">
        <v>174</v>
      </c>
      <c r="D9" s="18">
        <f>IFERROR(GWIND_BS!B27/GWIND_BS!B33,"-")</f>
        <v>0.43947390048938306</v>
      </c>
      <c r="E9" s="18">
        <f>IFERROR(GWIND_BS!D27/GWIND_BS!D33,"-")</f>
        <v>0.41627681191293064</v>
      </c>
      <c r="F9" s="18">
        <f>IFERROR(GWIND_BS!F27/GWIND_BS!F33,"-")</f>
        <v>0.30240380147484364</v>
      </c>
      <c r="G9" s="18">
        <f>IFERROR(GWIND_BS!H27/GWIND_BS!H33,"-")</f>
        <v>0.30478765928015589</v>
      </c>
      <c r="H9" s="18">
        <f>IFERROR(GWIND_BS!I27/GWIND_BS!I33,"-")</f>
        <v>0.77168455445508921</v>
      </c>
      <c r="I9" s="18">
        <f>IFERROR(GWIND_BS!J27/GWIND_BS!J33,"-")</f>
        <v>0.74779264152667668</v>
      </c>
    </row>
    <row r="10" spans="1:9" ht="15" customHeight="1" x14ac:dyDescent="0.2">
      <c r="A10" s="8" t="s">
        <v>175</v>
      </c>
      <c r="B10" s="16" t="s">
        <v>176</v>
      </c>
      <c r="C10" s="17" t="s">
        <v>177</v>
      </c>
      <c r="D10" s="18">
        <f>IFERROR((GWIND_BS!B19+GWIND_BS!B24)/GWIND_BS!B33,"-")</f>
        <v>0.23587279124237318</v>
      </c>
      <c r="E10" s="18">
        <f>IFERROR((GWIND_BS!D19+GWIND_BS!D24)/GWIND_BS!D33,"-")</f>
        <v>0.21914689392719339</v>
      </c>
      <c r="F10" s="18">
        <f>IFERROR((GWIND_BS!F19+GWIND_BS!F24)/GWIND_BS!F33,"-")</f>
        <v>0.1099913275647514</v>
      </c>
      <c r="G10" s="18">
        <f>IFERROR((GWIND_BS!H19+GWIND_BS!H24)/GWIND_BS!H33,"-")</f>
        <v>0.27860061724142676</v>
      </c>
      <c r="H10" s="18">
        <f>IFERROR((GWIND_BS!I19+GWIND_BS!I24)/GWIND_BS!I33,"-")</f>
        <v>0.64932678539255029</v>
      </c>
      <c r="I10" s="18">
        <f>IFERROR((GWIND_BS!J19+GWIND_BS!J24)/GWIND_BS!J33,"-")</f>
        <v>0.44926148214327294</v>
      </c>
    </row>
    <row r="11" spans="1:9" ht="15" customHeight="1" x14ac:dyDescent="0.2">
      <c r="A11" s="8" t="s">
        <v>178</v>
      </c>
      <c r="B11" s="16" t="s">
        <v>179</v>
      </c>
      <c r="C11" s="17" t="s">
        <v>180</v>
      </c>
      <c r="D11" s="18">
        <f>IFERROR((GWIND_BS!B19+GWIND_BS!B24-GWIND_BS!B5-GWIND_BS!B6)/GWIND_PLS!B13,"-")</f>
        <v>0.59609548699944881</v>
      </c>
      <c r="E11" s="18">
        <f>IFERROR((GWIND_BS!D19+GWIND_BS!D24-GWIND_BS!D5-GWIND_BS!D6)/GWIND_PLS!D13,"-")</f>
        <v>0.55715289557147574</v>
      </c>
      <c r="F11" s="18">
        <f>IFERROR((GWIND_BS!F19+GWIND_BS!F24-GWIND_BS!F5-GWIND_BS!F6)/GWIND_PLS!F13,"-")</f>
        <v>0.33274815521888967</v>
      </c>
      <c r="G11" s="18">
        <f>IFERROR((GWIND_BS!H19+GWIND_BS!H24-GWIND_BS!H5-GWIND_BS!H6)/GWIND_PLS!H13,"-")</f>
        <v>-0.17825263002510994</v>
      </c>
      <c r="H11" s="18">
        <f>IFERROR((GWIND_BS!I19+GWIND_BS!I24-GWIND_BS!I5-GWIND_BS!I6)/GWIND_PLS!I13,"-")</f>
        <v>1.0435593714901672</v>
      </c>
      <c r="I11" s="18">
        <f>IFERROR((GWIND_BS!J19+GWIND_BS!J24-GWIND_BS!J5-GWIND_BS!J6)/GWIND_PLS!J13,"-")</f>
        <v>1.1346777376303783</v>
      </c>
    </row>
    <row r="12" spans="1:9" ht="15" customHeight="1" x14ac:dyDescent="0.2">
      <c r="A12" s="8" t="s">
        <v>181</v>
      </c>
      <c r="B12" s="16" t="s">
        <v>182</v>
      </c>
      <c r="C12" s="17" t="s">
        <v>183</v>
      </c>
      <c r="D12" s="18">
        <f>IFERROR(GWIND_PLS!B11/ABS(GWIND_PLS!B14),"-")</f>
        <v>2.9953344616791133</v>
      </c>
      <c r="E12" s="18">
        <f>IFERROR(GWIND_PLS!D11/ABS(GWIND_PLS!D14),"-")</f>
        <v>5.685389187433465</v>
      </c>
      <c r="F12" s="18">
        <f>IFERROR(GWIND_PLS!F11/ABS(GWIND_PLS!F14),"-")</f>
        <v>4.1260835312728057</v>
      </c>
      <c r="G12" s="18">
        <f>IFERROR(GWIND_PLS!H11/ABS(GWIND_PLS!H14),"-")</f>
        <v>6.4632921082863115</v>
      </c>
      <c r="H12" s="18">
        <f>IFERROR(GWIND_PLS!I11/ABS(GWIND_PLS!I14),"-")</f>
        <v>1.9395521566460181</v>
      </c>
      <c r="I12" s="18">
        <f>IFERROR(GWIND_PLS!J11/ABS(GWIND_PLS!J14),"-")</f>
        <v>3.628757395003146</v>
      </c>
    </row>
    <row r="13" spans="1:9" ht="15" customHeight="1" x14ac:dyDescent="0.2">
      <c r="A13" s="8" t="s">
        <v>184</v>
      </c>
      <c r="B13" s="16" t="s">
        <v>185</v>
      </c>
      <c r="C13" s="17" t="s">
        <v>186</v>
      </c>
      <c r="D13" s="18">
        <f>IFERROR(GWIND_BS!B16/GWIND_BS!B33,"-")</f>
        <v>1.4394739004893835</v>
      </c>
      <c r="E13" s="18">
        <f>IFERROR(GWIND_BS!D16/GWIND_BS!D33,"-")</f>
        <v>1.4162768119129305</v>
      </c>
      <c r="F13" s="18">
        <f>IFERROR(GWIND_BS!F16/GWIND_BS!F33,"-")</f>
        <v>1.3024038014748436</v>
      </c>
      <c r="G13" s="18">
        <f>IFERROR(GWIND_BS!H16/GWIND_BS!H33,"-")</f>
        <v>1.3047876592801559</v>
      </c>
      <c r="H13" s="18">
        <f>IFERROR(GWIND_BS!I16/GWIND_BS!I33,"-")</f>
        <v>1.771684554455089</v>
      </c>
      <c r="I13" s="18">
        <f>IFERROR(GWIND_BS!J16/GWIND_BS!J33,"-")</f>
        <v>1.7477926415266765</v>
      </c>
    </row>
    <row r="14" spans="1:9" ht="15" customHeight="1" x14ac:dyDescent="0.2">
      <c r="A14" s="253" t="s">
        <v>187</v>
      </c>
      <c r="B14" s="253"/>
      <c r="C14" s="253"/>
      <c r="D14" s="253"/>
      <c r="E14" s="253"/>
      <c r="F14" s="253"/>
      <c r="G14" s="253"/>
      <c r="H14" s="253"/>
      <c r="I14" s="253"/>
    </row>
    <row r="15" spans="1:9" ht="15" customHeight="1" x14ac:dyDescent="0.2">
      <c r="A15" s="8" t="s">
        <v>188</v>
      </c>
      <c r="B15" s="16" t="s">
        <v>189</v>
      </c>
      <c r="C15" s="17" t="s">
        <v>190</v>
      </c>
      <c r="D15" s="10">
        <f>IFERROR(GWIND_PLS!B6/GWIND_PLS!B4,"-")</f>
        <v>0.45802346463623411</v>
      </c>
      <c r="E15" s="10">
        <f>IFERROR(GWIND_PLS!D6/GWIND_PLS!D4,"-")</f>
        <v>0.5249815466922948</v>
      </c>
      <c r="F15" s="10">
        <f>IFERROR(GWIND_PLS!F6/GWIND_PLS!F4,"-")</f>
        <v>0.59479669279725811</v>
      </c>
      <c r="G15" s="10">
        <f>IFERROR(GWIND_PLS!H6/GWIND_PLS!H4,"-")</f>
        <v>0.82020201863999764</v>
      </c>
      <c r="H15" s="10">
        <f>IFERROR(GWIND_PLS!I6/GWIND_PLS!I4,"-")</f>
        <v>0.73091507172280701</v>
      </c>
      <c r="I15" s="10">
        <f>IFERROR(GWIND_PLS!J6/GWIND_PLS!J4,"-")</f>
        <v>0.73536652772614808</v>
      </c>
    </row>
    <row r="16" spans="1:9" ht="15" customHeight="1" x14ac:dyDescent="0.2">
      <c r="A16" s="8" t="s">
        <v>191</v>
      </c>
      <c r="B16" s="16" t="s">
        <v>192</v>
      </c>
      <c r="C16" s="17" t="s">
        <v>193</v>
      </c>
      <c r="D16" s="10">
        <f>IFERROR(GWIND_PLS!B13/GWIND_PLS!B4,"-")</f>
        <v>0.85131405251078907</v>
      </c>
      <c r="E16" s="10">
        <f>IFERROR(GWIND_PLS!D13/GWIND_PLS!D4,"-")</f>
        <v>0.73871872633596214</v>
      </c>
      <c r="F16" s="10">
        <f>IFERROR(GWIND_PLS!F13/GWIND_PLS!F4,"-")</f>
        <v>1.0010718422996223</v>
      </c>
      <c r="G16" s="10">
        <f>IFERROR(GWIND_PLS!H13/GWIND_PLS!H4,"-")</f>
        <v>0.98640529184694858</v>
      </c>
      <c r="H16" s="10">
        <f>IFERROR(GWIND_PLS!I13/GWIND_PLS!I4,"-")</f>
        <v>0.8672257310430681</v>
      </c>
      <c r="I16" s="10">
        <f>IFERROR(GWIND_PLS!J13/GWIND_PLS!J4,"-")</f>
        <v>0.92139046420952542</v>
      </c>
    </row>
    <row r="17" spans="1:9" ht="15" customHeight="1" x14ac:dyDescent="0.2">
      <c r="A17" s="8" t="s">
        <v>194</v>
      </c>
      <c r="B17" s="16" t="s">
        <v>195</v>
      </c>
      <c r="C17" s="17" t="s">
        <v>196</v>
      </c>
      <c r="D17" s="10">
        <f>IFERROR(GWIND_PLS!B11/GWIND_PLS!B4,"-")</f>
        <v>0.52347160720304764</v>
      </c>
      <c r="E17" s="10">
        <f>IFERROR(GWIND_PLS!D11/GWIND_PLS!D4,"-")</f>
        <v>0.47611318941149017</v>
      </c>
      <c r="F17" s="10">
        <f>IFERROR(GWIND_PLS!F11/GWIND_PLS!F4,"-")</f>
        <v>0.79214202818953161</v>
      </c>
      <c r="G17" s="10">
        <f>IFERROR(GWIND_PLS!H11/GWIND_PLS!H4,"-")</f>
        <v>0.93201364329854219</v>
      </c>
      <c r="H17" s="10">
        <f>IFERROR(GWIND_PLS!I11/GWIND_PLS!I4,"-")</f>
        <v>0.75030812875472186</v>
      </c>
      <c r="I17" s="10">
        <f>IFERROR(GWIND_PLS!J11/GWIND_PLS!J4,"-")</f>
        <v>0.81833412880403433</v>
      </c>
    </row>
    <row r="18" spans="1:9" ht="15" customHeight="1" x14ac:dyDescent="0.2">
      <c r="A18" s="8" t="s">
        <v>197</v>
      </c>
      <c r="B18" s="16" t="s">
        <v>198</v>
      </c>
      <c r="C18" s="17" t="s">
        <v>199</v>
      </c>
      <c r="D18" s="10">
        <f>IFERROR(GWIND_PLS!B20/GWIND_PLS!B4,"-")</f>
        <v>0.28759054738843953</v>
      </c>
      <c r="E18" s="10">
        <f>IFERROR(GWIND_PLS!D20/GWIND_PLS!D4,"-")</f>
        <v>0.35290563572839845</v>
      </c>
      <c r="F18" s="10">
        <f>IFERROR(GWIND_PLS!F20/GWIND_PLS!F4,"-")</f>
        <v>0.33541513216801716</v>
      </c>
      <c r="G18" s="10">
        <f>IFERROR(GWIND_PLS!H20/GWIND_PLS!H4,"-")</f>
        <v>0.87928973835636248</v>
      </c>
      <c r="H18" s="10">
        <f>IFERROR(GWIND_PLS!I20/GWIND_PLS!I4,"-")</f>
        <v>0.31637272431307517</v>
      </c>
      <c r="I18" s="10">
        <f>IFERROR(GWIND_PLS!J20/GWIND_PLS!J4,"-")</f>
        <v>0.46645474506989298</v>
      </c>
    </row>
    <row r="19" spans="1:9" ht="15" customHeight="1" x14ac:dyDescent="0.2">
      <c r="A19" s="8" t="s">
        <v>200</v>
      </c>
      <c r="B19" s="16" t="s">
        <v>201</v>
      </c>
      <c r="C19" s="17" t="s">
        <v>202</v>
      </c>
      <c r="D19" s="10">
        <f>IFERROR(GWIND_PLS!B20/GWIND_BS!B16,"-")</f>
        <v>4.1567606243178221E-2</v>
      </c>
      <c r="E19" s="10">
        <f>IFERROR(GWIND_PLS!D20/GWIND_BS!D16,"-")</f>
        <v>5.6342832267993713E-2</v>
      </c>
      <c r="F19" s="10">
        <f>IFERROR(GWIND_PLS!F20/GWIND_BS!F16,"-")</f>
        <v>6.8076322537171621E-2</v>
      </c>
      <c r="G19" s="10">
        <f>IFERROR(GWIND_PLS!H20/GWIND_BS!H16,"-")</f>
        <v>0.42327828254739808</v>
      </c>
      <c r="H19" s="10">
        <f>IFERROR(GWIND_PLS!I20/GWIND_BS!I16,"-")</f>
        <v>9.669280606298504E-2</v>
      </c>
      <c r="I19" s="10">
        <f>IFERROR(GWIND_PLS!J20/GWIND_BS!J16,"-")</f>
        <v>9.6479540677133033E-2</v>
      </c>
    </row>
    <row r="20" spans="1:9" ht="15" customHeight="1" x14ac:dyDescent="0.2">
      <c r="A20" s="8" t="s">
        <v>203</v>
      </c>
      <c r="B20" s="16" t="s">
        <v>204</v>
      </c>
      <c r="C20" s="17" t="s">
        <v>205</v>
      </c>
      <c r="D20" s="10">
        <f>IFERROR(GWIND_PLS!B20/GWIND_BS!B33,"-")</f>
        <v>5.9835484292874601E-2</v>
      </c>
      <c r="E20" s="10">
        <f>IFERROR(GWIND_PLS!D20/GWIND_BS!D33,"-")</f>
        <v>7.9797046858659126E-2</v>
      </c>
      <c r="F20" s="10">
        <f>IFERROR(GWIND_PLS!F20/GWIND_BS!F33,"-")</f>
        <v>8.8662861262839884E-2</v>
      </c>
      <c r="G20" s="10">
        <f>IFERROR(GWIND_PLS!H20/GWIND_BS!H33,"-")</f>
        <v>0.55228827950914394</v>
      </c>
      <c r="H20" s="10">
        <f>IFERROR(GWIND_PLS!I20/GWIND_BS!I33,"-")</f>
        <v>0.17130915102871197</v>
      </c>
      <c r="I20" s="10">
        <f>IFERROR(GWIND_PLS!J20/GWIND_BS!J33,"-")</f>
        <v>0.16862623125336679</v>
      </c>
    </row>
    <row r="21" spans="1:9" ht="15" customHeight="1" x14ac:dyDescent="0.2">
      <c r="A21" s="8" t="s">
        <v>206</v>
      </c>
      <c r="B21" s="16" t="s">
        <v>207</v>
      </c>
      <c r="C21" s="17" t="s">
        <v>208</v>
      </c>
      <c r="D21" s="18">
        <f>IFERROR((GWIND_PLS!B20/GWIND_BS!B33)/(GWIND_PLS!B20/GWIND_BS!B16),"-")</f>
        <v>1.4394739004893835</v>
      </c>
      <c r="E21" s="18">
        <f>IFERROR((GWIND_PLS!D20/GWIND_BS!D33)/(GWIND_PLS!D20/GWIND_BS!D16),"-")</f>
        <v>1.4162768119129305</v>
      </c>
      <c r="F21" s="18">
        <f>IFERROR((GWIND_PLS!F20/GWIND_BS!F33)/(GWIND_PLS!F20/GWIND_BS!F16),"-")</f>
        <v>1.3024038014748436</v>
      </c>
      <c r="G21" s="18">
        <f>IFERROR((GWIND_PLS!H20/GWIND_BS!H33)/(GWIND_PLS!H20/GWIND_BS!H16),"-")</f>
        <v>1.3047876592801557</v>
      </c>
      <c r="H21" s="18">
        <f>IFERROR((GWIND_PLS!I20/GWIND_BS!I33)/(GWIND_PLS!I20/GWIND_BS!I16),"-")</f>
        <v>1.771684554455089</v>
      </c>
      <c r="I21" s="18">
        <f>IFERROR((GWIND_PLS!J20/GWIND_BS!J33)/(GWIND_PLS!J20/GWIND_BS!J16),"-")</f>
        <v>1.7477926415266767</v>
      </c>
    </row>
    <row r="22" spans="1:9" ht="15" customHeight="1" x14ac:dyDescent="0.2">
      <c r="A22" s="253" t="s">
        <v>209</v>
      </c>
      <c r="B22" s="253"/>
      <c r="C22" s="253"/>
      <c r="D22" s="253"/>
      <c r="E22" s="253"/>
      <c r="F22" s="253"/>
      <c r="G22" s="253"/>
      <c r="H22" s="253"/>
      <c r="I22" s="253"/>
    </row>
    <row r="23" spans="1:9" ht="15" customHeight="1" x14ac:dyDescent="0.2">
      <c r="A23" s="8" t="s">
        <v>210</v>
      </c>
      <c r="B23" s="16" t="s">
        <v>211</v>
      </c>
      <c r="C23" s="17" t="s">
        <v>212</v>
      </c>
      <c r="D23" s="18">
        <f>IFERROR(GWIND_PLS!B4/GWIND_BS!B16,"-")</f>
        <v>0.14453745653550343</v>
      </c>
      <c r="E23" s="18">
        <f>IFERROR(GWIND_PLS!D4/GWIND_BS!D16,"-")</f>
        <v>0.15965410173091146</v>
      </c>
      <c r="F23" s="18">
        <f>IFERROR(GWIND_PLS!F4/GWIND_BS!F16,"-")</f>
        <v>0.20296139323574292</v>
      </c>
      <c r="G23" s="18">
        <f>IFERROR(GWIND_PLS!H4/GWIND_BS!H16,"-")</f>
        <v>0.48138658292387571</v>
      </c>
      <c r="H23" s="18">
        <f>IFERROR(GWIND_PLS!I4/GWIND_BS!I16,"-")</f>
        <v>0.30562940048934195</v>
      </c>
      <c r="I23" s="18">
        <f>IFERROR(GWIND_PLS!J4/GWIND_BS!J16,"-")</f>
        <v>0.2068358006791777</v>
      </c>
    </row>
    <row r="24" spans="1:9" ht="15" customHeight="1" x14ac:dyDescent="0.2">
      <c r="A24" s="8" t="s">
        <v>213</v>
      </c>
      <c r="B24" s="16" t="s">
        <v>214</v>
      </c>
      <c r="C24" s="17" t="s">
        <v>215</v>
      </c>
      <c r="D24" s="18">
        <f>IFERROR(GWIND_PLS!B4/GWIND_BS!B7,"-")</f>
        <v>10.335926348873457</v>
      </c>
      <c r="E24" s="18">
        <f>IFERROR(GWIND_PLS!D4/GWIND_BS!D7,"-")</f>
        <v>10.748351924268468</v>
      </c>
      <c r="F24" s="18">
        <f>IFERROR(GWIND_PLS!F4/GWIND_BS!F7,"-")</f>
        <v>13.44119324339408</v>
      </c>
      <c r="G24" s="18">
        <f>IFERROR(GWIND_PLS!H4/GWIND_BS!H7,"-")</f>
        <v>14.112613938020987</v>
      </c>
      <c r="H24" s="18">
        <f>IFERROR(GWIND_PLS!I4/GWIND_BS!I7,"-")</f>
        <v>6.4066896746796873</v>
      </c>
      <c r="I24" s="18">
        <f>IFERROR(GWIND_PLS!J4/GWIND_BS!J7,"-")</f>
        <v>9.6296273292746264</v>
      </c>
    </row>
    <row r="25" spans="1:9" ht="15" customHeight="1" x14ac:dyDescent="0.2">
      <c r="A25" s="8" t="s">
        <v>216</v>
      </c>
      <c r="B25" s="16" t="s">
        <v>217</v>
      </c>
      <c r="C25" s="17" t="s">
        <v>218</v>
      </c>
      <c r="D25" s="19">
        <f>IFERROR(365/(GWIND_PLS!B4/GWIND_BS!B7),"-")</f>
        <v>35.313719126857208</v>
      </c>
      <c r="E25" s="19">
        <f>IFERROR(365/(GWIND_PLS!D4/GWIND_BS!D7),"-")</f>
        <v>33.9586945581745</v>
      </c>
      <c r="F25" s="19">
        <f>IFERROR(365/(GWIND_PLS!F4/GWIND_BS!F7),"-")</f>
        <v>27.155327164080905</v>
      </c>
      <c r="G25" s="19">
        <f>IFERROR(365/(GWIND_PLS!H4/GWIND_BS!H7),"-")</f>
        <v>25.863387293309888</v>
      </c>
      <c r="H25" s="19">
        <f>IFERROR(365/(GWIND_PLS!I4/GWIND_BS!I7),"-")</f>
        <v>56.971699666138235</v>
      </c>
      <c r="I25" s="19">
        <f>IFERROR(365/(GWIND_PLS!J4/GWIND_BS!J7),"-")</f>
        <v>37.903855208433541</v>
      </c>
    </row>
    <row r="26" spans="1:9" ht="15" customHeight="1" x14ac:dyDescent="0.2">
      <c r="A26" s="8" t="s">
        <v>219</v>
      </c>
      <c r="B26" s="16" t="s">
        <v>220</v>
      </c>
      <c r="C26" s="17" t="s">
        <v>221</v>
      </c>
      <c r="D26" s="18">
        <f>IFERROR(ABS(GWIND_PLS!B5)/GWIND_BS!B8,"-")</f>
        <v>361.32216860797513</v>
      </c>
      <c r="E26" s="18">
        <f>IFERROR(ABS(GWIND_PLS!D5)/GWIND_BS!D8,"-")</f>
        <v>158.39180116028288</v>
      </c>
      <c r="F26" s="18">
        <f>IFERROR(ABS(GWIND_PLS!F5)/GWIND_BS!F8,"-")</f>
        <v>153.37855202138422</v>
      </c>
      <c r="G26" s="18">
        <f>IFERROR(ABS(GWIND_PLS!H5)/GWIND_BS!H8,"-")</f>
        <v>260.74310701787601</v>
      </c>
      <c r="H26" s="18">
        <f>IFERROR(ABS(GWIND_PLS!I5)/GWIND_BS!I8,"-")</f>
        <v>174.0873282380584</v>
      </c>
      <c r="I26" s="18">
        <f>IFERROR(ABS(GWIND_PLS!J5)/GWIND_BS!J8,"-")</f>
        <v>53.277406835049376</v>
      </c>
    </row>
    <row r="27" spans="1:9" ht="15" customHeight="1" x14ac:dyDescent="0.2">
      <c r="A27" s="8" t="s">
        <v>222</v>
      </c>
      <c r="B27" s="16" t="s">
        <v>223</v>
      </c>
      <c r="C27" s="17" t="s">
        <v>224</v>
      </c>
      <c r="D27" s="19">
        <f>IFERROR(365/(ABS(GWIND_PLS!B5)/GWIND_BS!B8),"-")</f>
        <v>1.0101788146744333</v>
      </c>
      <c r="E27" s="19">
        <f>IFERROR(365/(ABS(GWIND_PLS!D5)/GWIND_BS!D8),"-")</f>
        <v>2.3044122064793124</v>
      </c>
      <c r="F27" s="19">
        <f>IFERROR(365/(ABS(GWIND_PLS!F5)/GWIND_BS!F8),"-")</f>
        <v>2.3797329886717882</v>
      </c>
      <c r="G27" s="19">
        <f>IFERROR(365/(ABS(GWIND_PLS!H5)/GWIND_BS!H8),"-")</f>
        <v>1.3998452506549919</v>
      </c>
      <c r="H27" s="19">
        <f>IFERROR(365/(ABS(GWIND_PLS!I5)/GWIND_BS!I8),"-")</f>
        <v>2.0966488698182277</v>
      </c>
      <c r="I27" s="19">
        <f>IFERROR(365/(ABS(GWIND_PLS!J5)/GWIND_BS!J8),"-")</f>
        <v>6.8509340390771243</v>
      </c>
    </row>
    <row r="28" spans="1:9" ht="15" customHeight="1" x14ac:dyDescent="0.2">
      <c r="A28" s="8" t="s">
        <v>225</v>
      </c>
      <c r="B28" s="16" t="s">
        <v>226</v>
      </c>
      <c r="C28" s="17" t="s">
        <v>227</v>
      </c>
      <c r="D28" s="18">
        <f>IFERROR(GWIND_PLS!B4/GWIND_BS!B20,"-")</f>
        <v>48.165010984658146</v>
      </c>
      <c r="E28" s="18">
        <f>IFERROR(GWIND_PLS!D4/GWIND_BS!D20,"-")</f>
        <v>17.080618788264875</v>
      </c>
      <c r="F28" s="18">
        <f>IFERROR(GWIND_PLS!F4/GWIND_BS!F20,"-")</f>
        <v>26.43099649723678</v>
      </c>
      <c r="G28" s="18">
        <f>IFERROR(GWIND_PLS!H4/GWIND_BS!H20,"-")</f>
        <v>67.961822100085598</v>
      </c>
      <c r="H28" s="18">
        <f>IFERROR(GWIND_PLS!I4/GWIND_BS!I20,"-")</f>
        <v>60.878839085063277</v>
      </c>
      <c r="I28" s="18">
        <f>IFERROR(GWIND_PLS!J4/GWIND_BS!J20,"-")</f>
        <v>47.543732887476331</v>
      </c>
    </row>
    <row r="29" spans="1:9" ht="15" customHeight="1" x14ac:dyDescent="0.2">
      <c r="A29" s="253" t="s">
        <v>228</v>
      </c>
      <c r="B29" s="253"/>
      <c r="C29" s="253"/>
      <c r="D29" s="253"/>
      <c r="E29" s="253"/>
      <c r="F29" s="253"/>
      <c r="G29" s="253"/>
      <c r="H29" s="253"/>
      <c r="I29" s="253"/>
    </row>
    <row r="30" spans="1:9" ht="15" customHeight="1" x14ac:dyDescent="0.2">
      <c r="A30" s="8" t="s">
        <v>229</v>
      </c>
      <c r="B30" s="16" t="s">
        <v>230</v>
      </c>
      <c r="C30" s="17" t="s">
        <v>231</v>
      </c>
      <c r="D30" s="18">
        <f>IFERROR(GWIND_CFS!B11/GWIND_PLS!B20,"-")</f>
        <v>1.9489740164788683</v>
      </c>
      <c r="E30" s="18">
        <f>IFERROR(GWIND_CFS!D11/GWIND_PLS!D20,"-")</f>
        <v>1.7894332833382118</v>
      </c>
      <c r="F30" s="18">
        <f>IFERROR(GWIND_CFS!F11/GWIND_PLS!F20,"-")</f>
        <v>3.1740181303040087</v>
      </c>
      <c r="G30" s="18">
        <f>IFERROR(GWIND_CFS!H11/GWIND_PLS!H20,"-")</f>
        <v>1.027616492261237</v>
      </c>
      <c r="H30" s="18">
        <f>IFERROR(GWIND_CFS!I11/GWIND_PLS!I20,"-")</f>
        <v>1.8693266256812191</v>
      </c>
      <c r="I30" s="18">
        <f>IFERROR(GWIND_CFS!J11/GWIND_PLS!J20,"-")</f>
        <v>1.7407418040749454</v>
      </c>
    </row>
    <row r="31" spans="1:9" ht="15" customHeight="1" x14ac:dyDescent="0.2">
      <c r="A31" s="8" t="s">
        <v>232</v>
      </c>
      <c r="B31" s="16" t="s">
        <v>233</v>
      </c>
      <c r="C31" s="17" t="s">
        <v>234</v>
      </c>
      <c r="D31" s="18">
        <f>IFERROR(GWIND_PLS!B13/ABS(GWIND_PLS!B14),"-")</f>
        <v>4.8712676754752229</v>
      </c>
      <c r="E31" s="18">
        <f>IFERROR(GWIND_PLS!D13/ABS(GWIND_PLS!D14),"-")</f>
        <v>8.8212289696416093</v>
      </c>
      <c r="F31" s="18">
        <f>IFERROR(GWIND_PLS!F13/ABS(GWIND_PLS!F14),"-")</f>
        <v>5.2143503249964098</v>
      </c>
      <c r="G31" s="18">
        <f>IFERROR(GWIND_PLS!H13/ABS(GWIND_PLS!H14),"-")</f>
        <v>6.8404852055626675</v>
      </c>
      <c r="H31" s="18">
        <f>IFERROR(GWIND_PLS!I13/ABS(GWIND_PLS!I14),"-")</f>
        <v>2.24178503801518</v>
      </c>
      <c r="I31" s="18">
        <f>IFERROR(GWIND_PLS!J13/ABS(GWIND_PLS!J14),"-")</f>
        <v>4.0857424162085287</v>
      </c>
    </row>
    <row r="32" spans="1:9" ht="15" customHeight="1" x14ac:dyDescent="0.2">
      <c r="A32" s="8" t="s">
        <v>235</v>
      </c>
      <c r="B32" s="16" t="s">
        <v>236</v>
      </c>
      <c r="C32" s="17" t="s">
        <v>237</v>
      </c>
      <c r="D32" s="10">
        <f>IFERROR((GWIND_CFS!B11+GWIND_CFS!B13)/GWIND_PLS!B4,"-")</f>
        <v>1.1574742413070932E-2</v>
      </c>
      <c r="E32" s="10">
        <f>IFERROR((GWIND_CFS!D11+GWIND_CFS!D13)/GWIND_PLS!D4,"-")</f>
        <v>-0.21644268764071539</v>
      </c>
      <c r="F32" s="10">
        <f>IFERROR((GWIND_CFS!F11+GWIND_CFS!F13)/GWIND_PLS!F4,"-")</f>
        <v>0.34809708802083705</v>
      </c>
      <c r="G32" s="10">
        <f>IFERROR((GWIND_CFS!H11+GWIND_CFS!H13)/GWIND_PLS!H4,"-")</f>
        <v>0.78506904149333534</v>
      </c>
      <c r="H32" s="10">
        <f>IFERROR((GWIND_CFS!I11+GWIND_CFS!I13)/GWIND_PLS!I4,"-")</f>
        <v>0.43654497761500033</v>
      </c>
      <c r="I32" s="10">
        <f>IFERROR((GWIND_CFS!J11+GWIND_CFS!J13)/GWIND_PLS!J4,"-")</f>
        <v>-0.45490230048002644</v>
      </c>
    </row>
    <row r="33" spans="1:9" ht="15" customHeight="1" x14ac:dyDescent="0.2">
      <c r="A33" s="253" t="s">
        <v>238</v>
      </c>
      <c r="B33" s="253"/>
      <c r="C33" s="253"/>
      <c r="D33" s="253"/>
      <c r="E33" s="253"/>
      <c r="F33" s="253"/>
      <c r="G33" s="253"/>
      <c r="H33" s="253"/>
      <c r="I33" s="253"/>
    </row>
    <row r="34" spans="1:9" ht="15" customHeight="1" x14ac:dyDescent="0.2">
      <c r="A34" s="8" t="s">
        <v>239</v>
      </c>
      <c r="B34" s="16" t="s">
        <v>240</v>
      </c>
      <c r="C34" s="17" t="s">
        <v>208</v>
      </c>
      <c r="D34" s="20">
        <f>IFERROR(GWIND_BS!B29/1000,"-")</f>
        <v>540</v>
      </c>
      <c r="E34" s="20">
        <f>IFERROR(GWIND_BS!D29/1000,"-")</f>
        <v>540</v>
      </c>
      <c r="F34" s="20">
        <f>IFERROR(GWIND_BS!F29/1000,"-")</f>
        <v>540</v>
      </c>
      <c r="G34" s="20">
        <f>IFERROR(GWIND_BS!H29/1000,"-")</f>
        <v>534.79145800000003</v>
      </c>
      <c r="H34" s="20">
        <f>IFERROR(GWIND_BS!I29/1000,"-")</f>
        <v>534.79145800000003</v>
      </c>
      <c r="I34" s="20">
        <f>IFERROR(GWIND_BS!J29/1000,"-")</f>
        <v>534.79145800000003</v>
      </c>
    </row>
    <row r="35" spans="1:9" ht="15" customHeight="1" x14ac:dyDescent="0.2">
      <c r="A35" s="8" t="s">
        <v>241</v>
      </c>
      <c r="B35" s="16" t="s">
        <v>242</v>
      </c>
      <c r="C35" s="17" t="s">
        <v>208</v>
      </c>
      <c r="D35" s="15">
        <f>IFERROR(GWIND_PLS!B20/GWIND_BS!B29,"-")</f>
        <v>1.5656066018518522</v>
      </c>
      <c r="E35" s="15">
        <f>IFERROR(GWIND_PLS!D20/GWIND_BS!D29,"-")</f>
        <v>1.5452038351851849</v>
      </c>
      <c r="F35" s="15">
        <f>IFERROR(GWIND_PLS!F20/GWIND_BS!F29,"-")</f>
        <v>1.154718027777778</v>
      </c>
      <c r="G35" s="15">
        <f>IFERROR(GWIND_PLS!H20/GWIND_BS!H29,"-")</f>
        <v>1.952080421972634</v>
      </c>
      <c r="H35" s="15">
        <f>IFERROR(GWIND_PLS!I20/GWIND_BS!I29,"-")</f>
        <v>0.31958786260194905</v>
      </c>
      <c r="I35" s="15">
        <f>IFERROR(GWIND_PLS!J20/GWIND_BS!J29,"-")</f>
        <v>0.29236918365289227</v>
      </c>
    </row>
    <row r="36" spans="1:9" ht="15" customHeight="1" x14ac:dyDescent="0.2">
      <c r="A36" s="8" t="s">
        <v>243</v>
      </c>
      <c r="B36" s="16" t="s">
        <v>244</v>
      </c>
      <c r="C36" s="17" t="s">
        <v>208</v>
      </c>
      <c r="D36" s="21">
        <f>IFERROR(GWIND_BS!B33/GWIND_BS!B29,"-")</f>
        <v>26.165186433333332</v>
      </c>
      <c r="E36" s="21">
        <f>IFERROR(GWIND_BS!D33/GWIND_BS!D29,"-")</f>
        <v>19.364173187037036</v>
      </c>
      <c r="F36" s="21">
        <f>IFERROR(GWIND_BS!F33/GWIND_BS!F29,"-")</f>
        <v>13.023694603703705</v>
      </c>
      <c r="G36" s="21">
        <f>IFERROR(GWIND_BS!H33/GWIND_BS!H29,"-")</f>
        <v>3.5345316828153228</v>
      </c>
      <c r="H36" s="21">
        <f>IFERROR(GWIND_BS!I33/GWIND_BS!I29,"-")</f>
        <v>1.8655621178601549</v>
      </c>
      <c r="I36" s="21">
        <f>IFERROR(GWIND_BS!J33/GWIND_BS!J29,"-")</f>
        <v>1.7338297931452751</v>
      </c>
    </row>
    <row r="37" spans="1:9" ht="15" customHeight="1" x14ac:dyDescent="0.2">
      <c r="A37" s="8" t="s">
        <v>245</v>
      </c>
      <c r="B37" s="16" t="s">
        <v>246</v>
      </c>
      <c r="C37" s="17" t="s">
        <v>208</v>
      </c>
      <c r="D37" s="15">
        <f>IFERROR(ABS(GWIND_CFS!B18)/GWIND_BS!B29,"-")</f>
        <v>0.73983224259259261</v>
      </c>
      <c r="E37" s="15">
        <f>IFERROR(ABS(GWIND_CFS!D18)/GWIND_BS!D29,"-")</f>
        <v>0.98414357592592583</v>
      </c>
      <c r="F37" s="15">
        <f>IFERROR(ABS(GWIND_CFS!F18)/GWIND_BS!F29,"-")</f>
        <v>0.97722393518518524</v>
      </c>
      <c r="G37" s="15">
        <f>IFERROR(ABS(GWIND_CFS!H18)/GWIND_BS!H29,"-")</f>
        <v>0.2804831635886002</v>
      </c>
      <c r="H37" s="15">
        <f>IFERROR(ABS(GWIND_CFS!I18)/GWIND_BS!I29,"-")</f>
        <v>0.18698877572573347</v>
      </c>
      <c r="I37" s="15">
        <f>IFERROR(ABS(GWIND_CFS!J18)/GWIND_BS!J29,"-")</f>
        <v>1.8698877572573346E-2</v>
      </c>
    </row>
    <row r="38" spans="1:9" ht="15" customHeight="1" x14ac:dyDescent="0.2">
      <c r="A38" s="253" t="s">
        <v>247</v>
      </c>
      <c r="B38" s="253"/>
      <c r="C38" s="253"/>
      <c r="D38" s="253"/>
      <c r="E38" s="253"/>
      <c r="F38" s="253"/>
      <c r="G38" s="253"/>
      <c r="H38" s="253"/>
      <c r="I38" s="253"/>
    </row>
    <row r="39" spans="1:9" ht="15" customHeight="1" x14ac:dyDescent="0.2">
      <c r="A39" s="8" t="s">
        <v>248</v>
      </c>
      <c r="B39" s="16" t="s">
        <v>249</v>
      </c>
      <c r="C39" s="17" t="s">
        <v>250</v>
      </c>
      <c r="D39" s="22">
        <v>26.46</v>
      </c>
      <c r="E39" s="22">
        <v>28.44</v>
      </c>
      <c r="F39" s="22">
        <v>26.18</v>
      </c>
      <c r="G39" s="22">
        <v>16.670000000000002</v>
      </c>
      <c r="H39" s="22">
        <v>6.73</v>
      </c>
      <c r="I39" s="17" t="s">
        <v>251</v>
      </c>
    </row>
    <row r="40" spans="1:9" ht="15" customHeight="1" x14ac:dyDescent="0.2">
      <c r="A40" s="8" t="s">
        <v>252</v>
      </c>
      <c r="B40" s="16" t="s">
        <v>253</v>
      </c>
      <c r="C40" s="17" t="s">
        <v>208</v>
      </c>
      <c r="D40" s="23">
        <f>IFERROR(D39*GWIND_BS!B29,"-")</f>
        <v>14288400</v>
      </c>
      <c r="E40" s="23">
        <f>IFERROR(E39*GWIND_BS!D29,"-")</f>
        <v>15357600</v>
      </c>
      <c r="F40" s="23">
        <f>IFERROR(F39*GWIND_BS!F29,"-")</f>
        <v>14137200</v>
      </c>
      <c r="G40" s="23">
        <f>IFERROR(G39*GWIND_BS!H29,"-")</f>
        <v>8914973.6048600003</v>
      </c>
      <c r="H40" s="23">
        <f>IFERROR(H39*GWIND_BS!I29,"-")</f>
        <v>3599146.5123399999</v>
      </c>
      <c r="I40" s="17" t="s">
        <v>254</v>
      </c>
    </row>
    <row r="41" spans="1:9" ht="15" customHeight="1" x14ac:dyDescent="0.2">
      <c r="A41" s="8" t="s">
        <v>255</v>
      </c>
      <c r="B41" s="16" t="s">
        <v>256</v>
      </c>
      <c r="C41" s="17" t="s">
        <v>257</v>
      </c>
      <c r="D41" s="18">
        <f>IFERROR(D40/GWIND_PLS!B20,"-")</f>
        <v>16.900797408941827</v>
      </c>
      <c r="E41" s="18">
        <f>IFERROR(E40/GWIND_PLS!D20,"-")</f>
        <v>18.405338734220528</v>
      </c>
      <c r="F41" s="18">
        <f>IFERROR(F40/GWIND_PLS!F20,"-")</f>
        <v>22.672201671937749</v>
      </c>
      <c r="G41" s="18">
        <f>IFERROR(G40/GWIND_PLS!H20,"-")</f>
        <v>8.539607186447002</v>
      </c>
      <c r="H41" s="18">
        <f>IFERROR(H40/GWIND_PLS!I20,"-")</f>
        <v>21.058371695367871</v>
      </c>
      <c r="I41" s="18" t="s">
        <v>258</v>
      </c>
    </row>
    <row r="42" spans="1:9" ht="15" customHeight="1" x14ac:dyDescent="0.2">
      <c r="A42" s="8" t="s">
        <v>259</v>
      </c>
      <c r="B42" s="16" t="s">
        <v>260</v>
      </c>
      <c r="C42" s="17" t="s">
        <v>261</v>
      </c>
      <c r="D42" s="18">
        <f>IFERROR(D40/GWIND_BS!B33,"-")</f>
        <v>1.0112673978997944</v>
      </c>
      <c r="E42" s="18">
        <f>IFERROR(E40/GWIND_BS!D33,"-")</f>
        <v>1.4686916774240895</v>
      </c>
      <c r="F42" s="18">
        <f>IFERROR(F40/GWIND_BS!F33,"-")</f>
        <v>2.0101822713621433</v>
      </c>
      <c r="G42" s="18">
        <f>IFERROR(G40/GWIND_BS!H33,"-")</f>
        <v>4.7163249606867366</v>
      </c>
      <c r="H42" s="18">
        <f>IFERROR(H40/GWIND_BS!I33,"-")</f>
        <v>3.6074917771805279</v>
      </c>
      <c r="I42" s="18" t="s">
        <v>258</v>
      </c>
    </row>
    <row r="43" spans="1:9" ht="15" customHeight="1" x14ac:dyDescent="0.2">
      <c r="A43" s="8" t="s">
        <v>262</v>
      </c>
      <c r="B43" s="16" t="s">
        <v>263</v>
      </c>
      <c r="C43" s="17" t="s">
        <v>264</v>
      </c>
      <c r="D43" s="18">
        <f>IFERROR((D40+GWIND_BS!B19+GWIND_BS!B24-GWIND_BS!B5-GWIND_BS!B6)/GWIND_PLS!B13,"-")</f>
        <v>6.3055156049965051</v>
      </c>
      <c r="E43" s="18">
        <f>IFERROR((E40+GWIND_BS!D19+GWIND_BS!D24-GWIND_BS!D5-GWIND_BS!D6)/GWIND_PLS!D13,"-")</f>
        <v>9.3498740426493043</v>
      </c>
      <c r="F43" s="18">
        <f>IFERROR((F40+GWIND_BS!F19+GWIND_BS!F24-GWIND_BS!F5-GWIND_BS!F6)/GWIND_PLS!F13,"-")</f>
        <v>7.9292054712732076</v>
      </c>
      <c r="G43" s="18">
        <f>IFERROR((G40+GWIND_BS!H19+GWIND_BS!H24-GWIND_BS!H5-GWIND_BS!H6)/GWIND_PLS!H13,"-")</f>
        <v>7.4340230042404105</v>
      </c>
      <c r="H43" s="18">
        <f>IFERROR((H40+GWIND_BS!I19+GWIND_BS!I24-GWIND_BS!I5-GWIND_BS!I6)/GWIND_PLS!I13,"-")</f>
        <v>8.7258665083502738</v>
      </c>
      <c r="I43" s="18" t="s">
        <v>258</v>
      </c>
    </row>
    <row r="44" spans="1:9" ht="15" customHeight="1" x14ac:dyDescent="0.2">
      <c r="A44" s="8" t="s">
        <v>265</v>
      </c>
      <c r="B44" s="16" t="s">
        <v>266</v>
      </c>
      <c r="C44" s="17" t="s">
        <v>267</v>
      </c>
      <c r="D44" s="10">
        <f>IFERROR(ABS(GWIND_CFS!B18)/GWIND_BS!B29/D39,"-")</f>
        <v>2.7960402214383697E-2</v>
      </c>
      <c r="E44" s="10">
        <f>IFERROR(ABS(GWIND_CFS!D18)/GWIND_BS!D29/E39,"-")</f>
        <v>3.4604204498098659E-2</v>
      </c>
      <c r="F44" s="10">
        <f>IFERROR(ABS(GWIND_CFS!F18)/GWIND_BS!F29/F39,"-")</f>
        <v>3.7327117463146875E-2</v>
      </c>
      <c r="G44" s="10">
        <f>IFERROR(ABS(GWIND_CFS!H18)/GWIND_BS!H29/G39,"-")</f>
        <v>1.6825624690377936E-2</v>
      </c>
      <c r="H44" s="10">
        <f>IFERROR(ABS(GWIND_CFS!I18)/GWIND_BS!I29/H39,"-")</f>
        <v>2.7784364892382386E-2</v>
      </c>
      <c r="I44" s="10" t="s">
        <v>258</v>
      </c>
    </row>
    <row r="46" spans="1:9" ht="15" customHeight="1" x14ac:dyDescent="0.2">
      <c r="A46" s="1" t="s">
        <v>143</v>
      </c>
    </row>
    <row r="47" spans="1:9" ht="15.75" customHeight="1" x14ac:dyDescent="0.2">
      <c r="A47" s="252" t="s">
        <v>268</v>
      </c>
      <c r="B47" s="252"/>
      <c r="C47" s="252"/>
      <c r="D47" s="252"/>
      <c r="E47" s="252"/>
      <c r="F47" s="252"/>
      <c r="G47" s="252"/>
      <c r="H47" s="252"/>
      <c r="I47" s="252"/>
    </row>
    <row r="48" spans="1:9" ht="15.75" customHeight="1" x14ac:dyDescent="0.2">
      <c r="A48" s="252" t="s">
        <v>269</v>
      </c>
      <c r="B48" s="252"/>
      <c r="C48" s="252"/>
      <c r="D48" s="252"/>
      <c r="E48" s="252"/>
      <c r="F48" s="252"/>
      <c r="G48" s="252"/>
      <c r="H48" s="252"/>
      <c r="I48" s="252"/>
    </row>
    <row r="49" spans="1:9" ht="15.75" customHeight="1" x14ac:dyDescent="0.2">
      <c r="A49" s="252" t="s">
        <v>270</v>
      </c>
      <c r="B49" s="252"/>
      <c r="C49" s="252"/>
      <c r="D49" s="252"/>
      <c r="E49" s="252"/>
      <c r="F49" s="252"/>
      <c r="G49" s="252"/>
      <c r="H49" s="252"/>
      <c r="I49" s="252"/>
    </row>
    <row r="50" spans="1:9" ht="15.75" customHeight="1" x14ac:dyDescent="0.2">
      <c r="A50" s="252" t="s">
        <v>271</v>
      </c>
      <c r="B50" s="252"/>
      <c r="C50" s="252"/>
      <c r="D50" s="252"/>
      <c r="E50" s="252"/>
      <c r="F50" s="252"/>
      <c r="G50" s="252"/>
      <c r="H50" s="252"/>
      <c r="I50" s="252"/>
    </row>
    <row r="51" spans="1:9" ht="15.75" customHeight="1" x14ac:dyDescent="0.2">
      <c r="A51" s="252" t="s">
        <v>272</v>
      </c>
      <c r="B51" s="252"/>
      <c r="C51" s="252"/>
      <c r="D51" s="252"/>
      <c r="E51" s="252"/>
      <c r="F51" s="252"/>
      <c r="G51" s="252"/>
      <c r="H51" s="252"/>
      <c r="I51" s="252"/>
    </row>
    <row r="52" spans="1:9" ht="15.75" customHeight="1" x14ac:dyDescent="0.2">
      <c r="A52" s="252" t="s">
        <v>273</v>
      </c>
      <c r="B52" s="252"/>
      <c r="C52" s="252"/>
      <c r="D52" s="252"/>
      <c r="E52" s="252"/>
      <c r="F52" s="252"/>
      <c r="G52" s="252"/>
      <c r="H52" s="252"/>
      <c r="I52" s="252"/>
    </row>
  </sheetData>
  <mergeCells count="14">
    <mergeCell ref="A1:I1"/>
    <mergeCell ref="A3:I3"/>
    <mergeCell ref="A7:I7"/>
    <mergeCell ref="A14:I14"/>
    <mergeCell ref="A22:I22"/>
    <mergeCell ref="A49:I49"/>
    <mergeCell ref="A50:I50"/>
    <mergeCell ref="A51:I51"/>
    <mergeCell ref="A52:I52"/>
    <mergeCell ref="A29:I29"/>
    <mergeCell ref="A33:I33"/>
    <mergeCell ref="A38:I38"/>
    <mergeCell ref="A47:I47"/>
    <mergeCell ref="A48:I4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3" sqref="C53"/>
    </sheetView>
  </sheetViews>
  <sheetFormatPr baseColWidth="10" defaultColWidth="8.6640625" defaultRowHeight="15" x14ac:dyDescent="0.2"/>
  <cols>
    <col min="1" max="1" width="67" customWidth="1"/>
    <col min="2" max="10" width="12" customWidth="1"/>
    <col min="11" max="11" width="67" customWidth="1"/>
    <col min="12" max="20" width="12" customWidth="1"/>
  </cols>
  <sheetData>
    <row r="1" spans="1:20" ht="21.75" customHeight="1" x14ac:dyDescent="0.2">
      <c r="A1" s="256" t="s">
        <v>274</v>
      </c>
      <c r="B1" s="256"/>
      <c r="C1" s="256"/>
      <c r="D1" s="256"/>
      <c r="E1" s="256"/>
      <c r="F1" s="256"/>
      <c r="G1" s="256"/>
      <c r="H1" s="256"/>
      <c r="I1" s="256"/>
      <c r="J1" s="256"/>
      <c r="L1" s="254" t="s">
        <v>275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24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8</v>
      </c>
      <c r="H2" s="25" t="s">
        <v>9</v>
      </c>
      <c r="I2" s="25" t="s">
        <v>10</v>
      </c>
      <c r="J2" s="25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.75" customHeight="1" x14ac:dyDescent="0.2">
      <c r="A3" s="26" t="s">
        <v>276</v>
      </c>
      <c r="B3" s="27"/>
      <c r="C3" s="27"/>
      <c r="D3" s="27"/>
      <c r="E3" s="27"/>
      <c r="F3" s="27"/>
      <c r="G3" s="27"/>
      <c r="H3" s="27"/>
      <c r="I3" s="27"/>
      <c r="J3" s="27"/>
    </row>
    <row r="4" spans="1:20" ht="15.75" customHeight="1" x14ac:dyDescent="0.2">
      <c r="A4" s="26" t="s">
        <v>277</v>
      </c>
      <c r="B4" s="28"/>
      <c r="C4" s="28"/>
      <c r="D4" s="28"/>
      <c r="E4" s="28"/>
      <c r="F4" s="28"/>
      <c r="G4" s="28"/>
      <c r="H4" s="28"/>
      <c r="I4" s="28"/>
      <c r="J4" s="28"/>
    </row>
    <row r="5" spans="1:20" ht="15" customHeight="1" x14ac:dyDescent="0.2">
      <c r="A5" s="29" t="s">
        <v>14</v>
      </c>
      <c r="B5" s="30">
        <v>1275727</v>
      </c>
      <c r="C5" s="30">
        <v>6110484</v>
      </c>
      <c r="D5" s="30">
        <v>4668329</v>
      </c>
      <c r="E5" s="30">
        <v>2429147</v>
      </c>
      <c r="F5" s="30">
        <v>1682482</v>
      </c>
      <c r="G5" s="30">
        <v>235806</v>
      </c>
      <c r="H5" s="30">
        <v>143101</v>
      </c>
      <c r="I5" s="30">
        <v>293096</v>
      </c>
      <c r="J5" s="30">
        <v>224697</v>
      </c>
      <c r="L5" s="10">
        <f t="shared" ref="L5:T5" si="0">IFERROR(B5/B22,"")</f>
        <v>2.5169996972640434E-2</v>
      </c>
      <c r="M5" s="10">
        <f t="shared" si="0"/>
        <v>0.15279981863523009</v>
      </c>
      <c r="N5" s="10">
        <f t="shared" si="0"/>
        <v>0.15279982676051257</v>
      </c>
      <c r="O5" s="10">
        <f t="shared" si="0"/>
        <v>8.9713965310828078E-2</v>
      </c>
      <c r="P5" s="10">
        <f t="shared" si="0"/>
        <v>8.9713956852270696E-2</v>
      </c>
      <c r="Q5" s="10">
        <f t="shared" si="0"/>
        <v>1.9965681576987929E-2</v>
      </c>
      <c r="R5" s="10">
        <f t="shared" si="0"/>
        <v>2.2296960404863852E-2</v>
      </c>
      <c r="S5" s="10">
        <f t="shared" si="0"/>
        <v>9.2025046476265471E-2</v>
      </c>
      <c r="T5" s="10">
        <f t="shared" si="0"/>
        <v>0.1333741316023154</v>
      </c>
    </row>
    <row r="6" spans="1:20" ht="15" customHeight="1" x14ac:dyDescent="0.2">
      <c r="A6" s="29" t="s">
        <v>278</v>
      </c>
      <c r="B6" s="30">
        <v>11265802</v>
      </c>
      <c r="C6" s="30">
        <v>4257948</v>
      </c>
      <c r="D6" s="30">
        <v>3253016</v>
      </c>
      <c r="E6" s="30">
        <v>2021164</v>
      </c>
      <c r="F6" s="30">
        <v>1399904</v>
      </c>
      <c r="G6" s="30">
        <v>612964</v>
      </c>
      <c r="H6" s="30">
        <v>371983</v>
      </c>
      <c r="I6" s="30">
        <v>1129</v>
      </c>
      <c r="J6" s="30">
        <v>0</v>
      </c>
      <c r="L6" s="10">
        <f t="shared" ref="L6:T6" si="1">IFERROR(B6/B22,"")</f>
        <v>0.22227341918323165</v>
      </c>
      <c r="M6" s="10">
        <f t="shared" si="1"/>
        <v>0.10647498334963985</v>
      </c>
      <c r="N6" s="10">
        <f t="shared" si="1"/>
        <v>0.10647498949820708</v>
      </c>
      <c r="O6" s="10">
        <f t="shared" si="1"/>
        <v>7.4646218192433195E-2</v>
      </c>
      <c r="P6" s="10">
        <f t="shared" si="1"/>
        <v>7.4646223289949701E-2</v>
      </c>
      <c r="Q6" s="10">
        <f t="shared" si="1"/>
        <v>5.189962953511288E-2</v>
      </c>
      <c r="R6" s="10">
        <f t="shared" si="1"/>
        <v>5.7959694357708681E-2</v>
      </c>
      <c r="S6" s="10">
        <f t="shared" si="1"/>
        <v>3.5447866047883192E-4</v>
      </c>
      <c r="T6" s="10">
        <f t="shared" si="1"/>
        <v>0</v>
      </c>
    </row>
    <row r="7" spans="1:20" ht="15" customHeight="1" x14ac:dyDescent="0.2">
      <c r="A7" s="29" t="s">
        <v>279</v>
      </c>
      <c r="B7" s="30">
        <v>152253</v>
      </c>
      <c r="C7" s="30">
        <v>23032</v>
      </c>
      <c r="D7" s="30">
        <v>17596</v>
      </c>
      <c r="E7" s="30">
        <v>407164</v>
      </c>
      <c r="F7" s="30">
        <v>282011</v>
      </c>
      <c r="G7" s="30">
        <v>46202</v>
      </c>
      <c r="H7" s="30">
        <v>28038</v>
      </c>
      <c r="I7" s="30">
        <v>76867</v>
      </c>
      <c r="J7" s="30">
        <v>58714</v>
      </c>
      <c r="L7" s="10">
        <f t="shared" ref="L7:T7" si="2">IFERROR(B7/B22,"")</f>
        <v>3.0039401447766053E-3</v>
      </c>
      <c r="M7" s="10">
        <f t="shared" si="2"/>
        <v>5.759421713249916E-4</v>
      </c>
      <c r="N7" s="10">
        <f t="shared" si="2"/>
        <v>5.7593750390728233E-4</v>
      </c>
      <c r="O7" s="10">
        <f t="shared" si="2"/>
        <v>1.5037499571585417E-2</v>
      </c>
      <c r="P7" s="10">
        <f t="shared" si="2"/>
        <v>1.5037499768714145E-2</v>
      </c>
      <c r="Q7" s="10">
        <f t="shared" si="2"/>
        <v>3.9119209020126557E-3</v>
      </c>
      <c r="R7" s="10">
        <f t="shared" si="2"/>
        <v>4.3686778976497207E-3</v>
      </c>
      <c r="S7" s="10">
        <f t="shared" si="2"/>
        <v>2.4134376612069419E-2</v>
      </c>
      <c r="T7" s="10">
        <f t="shared" si="2"/>
        <v>3.4851060596707333E-2</v>
      </c>
    </row>
    <row r="8" spans="1:20" ht="15" customHeight="1" x14ac:dyDescent="0.2">
      <c r="A8" s="29" t="s">
        <v>280</v>
      </c>
      <c r="B8" s="30">
        <v>11605367</v>
      </c>
      <c r="C8" s="30">
        <v>8543058</v>
      </c>
      <c r="D8" s="30">
        <v>6526783</v>
      </c>
      <c r="E8" s="30">
        <v>8152693</v>
      </c>
      <c r="F8" s="30">
        <v>5646740</v>
      </c>
      <c r="G8" s="30">
        <v>4202086</v>
      </c>
      <c r="H8" s="30">
        <v>2550076</v>
      </c>
      <c r="I8" s="30">
        <v>1308805</v>
      </c>
      <c r="J8" s="30">
        <v>371132</v>
      </c>
      <c r="L8" s="10">
        <f t="shared" ref="L8:T8" si="3">IFERROR(B8/B22,"")</f>
        <v>0.2289730108842889</v>
      </c>
      <c r="M8" s="10">
        <f t="shared" si="3"/>
        <v>0.21362918436416029</v>
      </c>
      <c r="N8" s="10">
        <f t="shared" si="3"/>
        <v>0.21362918331237121</v>
      </c>
      <c r="O8" s="10">
        <f t="shared" si="3"/>
        <v>0.30109763509241344</v>
      </c>
      <c r="P8" s="10">
        <f t="shared" si="3"/>
        <v>0.301097657339568</v>
      </c>
      <c r="Q8" s="10">
        <f t="shared" si="3"/>
        <v>0.355790399884307</v>
      </c>
      <c r="R8" s="10">
        <f t="shared" si="3"/>
        <v>0.39733435546497642</v>
      </c>
      <c r="S8" s="10">
        <f t="shared" si="3"/>
        <v>0.41093307637555143</v>
      </c>
      <c r="T8" s="10">
        <f t="shared" si="3"/>
        <v>0.22029403245183746</v>
      </c>
    </row>
    <row r="9" spans="1:20" ht="15" customHeight="1" x14ac:dyDescent="0.2">
      <c r="A9" s="29" t="s">
        <v>281</v>
      </c>
      <c r="B9" s="30">
        <v>451862</v>
      </c>
      <c r="C9" s="30">
        <v>307716</v>
      </c>
      <c r="D9" s="30">
        <v>235091</v>
      </c>
      <c r="E9" s="30">
        <v>112008</v>
      </c>
      <c r="F9" s="30">
        <v>77580</v>
      </c>
      <c r="G9" s="30">
        <v>245618</v>
      </c>
      <c r="H9" s="30">
        <v>149056</v>
      </c>
      <c r="I9" s="30">
        <v>99807</v>
      </c>
      <c r="J9" s="30">
        <v>60596</v>
      </c>
      <c r="L9" s="10">
        <f t="shared" ref="L9:T9" si="4">IFERROR(B9/B22,"")</f>
        <v>8.9152029956654152E-3</v>
      </c>
      <c r="M9" s="10">
        <f t="shared" si="4"/>
        <v>7.6947994612470089E-3</v>
      </c>
      <c r="N9" s="10">
        <f t="shared" si="4"/>
        <v>7.6948013031977102E-3</v>
      </c>
      <c r="O9" s="10">
        <f t="shared" si="4"/>
        <v>4.1367121160371233E-3</v>
      </c>
      <c r="P9" s="10">
        <f t="shared" si="4"/>
        <v>4.136750807794176E-3</v>
      </c>
      <c r="Q9" s="10">
        <f t="shared" si="4"/>
        <v>2.0796463099228266E-2</v>
      </c>
      <c r="R9" s="10">
        <f t="shared" si="4"/>
        <v>2.3224825333906723E-2</v>
      </c>
      <c r="S9" s="10">
        <f t="shared" si="4"/>
        <v>3.1336981103995375E-2</v>
      </c>
      <c r="T9" s="10">
        <f t="shared" si="4"/>
        <v>3.5968165478728706E-2</v>
      </c>
    </row>
    <row r="10" spans="1:20" ht="15" customHeight="1" x14ac:dyDescent="0.2">
      <c r="A10" s="29" t="s">
        <v>17</v>
      </c>
      <c r="B10" s="30">
        <v>7796698</v>
      </c>
      <c r="C10" s="30">
        <v>3747056</v>
      </c>
      <c r="D10" s="30">
        <v>2862701</v>
      </c>
      <c r="E10" s="30">
        <v>2183348</v>
      </c>
      <c r="F10" s="30">
        <v>1512236</v>
      </c>
      <c r="G10" s="30">
        <v>2129120</v>
      </c>
      <c r="H10" s="30">
        <v>1201417</v>
      </c>
      <c r="I10" s="30">
        <v>551631</v>
      </c>
      <c r="J10" s="30">
        <v>344536</v>
      </c>
      <c r="L10" s="10">
        <f t="shared" ref="L10:T10" si="5">IFERROR(B10/B22,"")</f>
        <v>0.1538282603226174</v>
      </c>
      <c r="M10" s="10">
        <f t="shared" si="5"/>
        <v>9.3699529728913586E-2</v>
      </c>
      <c r="N10" s="10">
        <f t="shared" si="5"/>
        <v>9.3699526504482891E-2</v>
      </c>
      <c r="O10" s="10">
        <f t="shared" si="5"/>
        <v>8.0636044971121909E-2</v>
      </c>
      <c r="P10" s="10">
        <f t="shared" si="5"/>
        <v>8.0636033701668386E-2</v>
      </c>
      <c r="Q10" s="10">
        <f t="shared" si="5"/>
        <v>0.18027247805058622</v>
      </c>
      <c r="R10" s="10">
        <f t="shared" si="5"/>
        <v>0.18719608723021022</v>
      </c>
      <c r="S10" s="10">
        <f t="shared" si="5"/>
        <v>0.17319877587121216</v>
      </c>
      <c r="T10" s="10">
        <f t="shared" si="5"/>
        <v>0.2045073579341751</v>
      </c>
    </row>
    <row r="11" spans="1:20" ht="15" customHeight="1" x14ac:dyDescent="0.2">
      <c r="A11" s="29" t="s">
        <v>282</v>
      </c>
      <c r="B11" s="30">
        <v>3235021</v>
      </c>
      <c r="C11" s="30">
        <v>4608371</v>
      </c>
      <c r="D11" s="30">
        <v>3520734</v>
      </c>
      <c r="E11" s="30">
        <v>3512338</v>
      </c>
      <c r="F11" s="30">
        <v>2432724</v>
      </c>
      <c r="G11" s="30">
        <v>1055411</v>
      </c>
      <c r="H11" s="30">
        <v>584591</v>
      </c>
      <c r="I11" s="30">
        <v>165965</v>
      </c>
      <c r="J11" s="30">
        <v>82515</v>
      </c>
      <c r="L11" s="10">
        <f t="shared" ref="L11:T11" si="6">IFERROR(B11/B22,"")</f>
        <v>6.3826719020941183E-2</v>
      </c>
      <c r="M11" s="10">
        <f t="shared" si="6"/>
        <v>0.11523772143153538</v>
      </c>
      <c r="N11" s="10">
        <f t="shared" si="6"/>
        <v>0.11523771038199032</v>
      </c>
      <c r="O11" s="10">
        <f t="shared" si="6"/>
        <v>0.1297186911668595</v>
      </c>
      <c r="P11" s="10">
        <f t="shared" si="6"/>
        <v>0.12971865135524979</v>
      </c>
      <c r="Q11" s="10">
        <f t="shared" si="6"/>
        <v>8.9361593678067591E-2</v>
      </c>
      <c r="R11" s="10">
        <f t="shared" si="6"/>
        <v>9.1086731609421059E-2</v>
      </c>
      <c r="S11" s="10">
        <f t="shared" si="6"/>
        <v>5.2108991041956897E-2</v>
      </c>
      <c r="T11" s="10">
        <f t="shared" si="6"/>
        <v>4.8978697842717328E-2</v>
      </c>
    </row>
    <row r="12" spans="1:20" ht="15" customHeight="1" x14ac:dyDescent="0.2">
      <c r="A12" s="29" t="s">
        <v>283</v>
      </c>
      <c r="B12" s="30">
        <v>32014</v>
      </c>
      <c r="C12" s="30">
        <v>42302</v>
      </c>
      <c r="D12" s="30">
        <v>32318</v>
      </c>
      <c r="E12" s="30">
        <v>993</v>
      </c>
      <c r="F12" s="30">
        <v>688</v>
      </c>
      <c r="G12" s="30">
        <v>1116</v>
      </c>
      <c r="H12" s="30">
        <v>677</v>
      </c>
      <c r="I12" s="30">
        <v>1597</v>
      </c>
      <c r="J12" s="30">
        <v>436</v>
      </c>
      <c r="L12" s="10">
        <f t="shared" ref="L12:T12" si="7">IFERROR(B12/B22,"")</f>
        <v>6.3163379240394762E-4</v>
      </c>
      <c r="M12" s="10">
        <f t="shared" si="7"/>
        <v>1.0578111206751386E-3</v>
      </c>
      <c r="N12" s="10">
        <f t="shared" si="7"/>
        <v>1.0578056519251846E-3</v>
      </c>
      <c r="O12" s="10">
        <f t="shared" si="7"/>
        <v>3.6673765545540174E-5</v>
      </c>
      <c r="P12" s="10">
        <f t="shared" si="7"/>
        <v>3.6685802471801925E-5</v>
      </c>
      <c r="Q12" s="10">
        <f t="shared" si="7"/>
        <v>9.4491661110906959E-5</v>
      </c>
      <c r="R12" s="10">
        <f t="shared" si="7"/>
        <v>1.0548523206751055E-4</v>
      </c>
      <c r="S12" s="10">
        <f t="shared" si="7"/>
        <v>5.0141932753294469E-4</v>
      </c>
      <c r="T12" s="10">
        <f t="shared" si="7"/>
        <v>2.5879794291249782E-4</v>
      </c>
    </row>
    <row r="13" spans="1:20" ht="15" customHeight="1" x14ac:dyDescent="0.2">
      <c r="A13" s="31" t="s">
        <v>19</v>
      </c>
      <c r="B13" s="32">
        <f t="shared" ref="B13:J13" si="8">SUM(B5:B12)</f>
        <v>35814744</v>
      </c>
      <c r="C13" s="32">
        <f t="shared" si="8"/>
        <v>27639967</v>
      </c>
      <c r="D13" s="32">
        <f t="shared" si="8"/>
        <v>21116568</v>
      </c>
      <c r="E13" s="32">
        <f t="shared" si="8"/>
        <v>18818855</v>
      </c>
      <c r="F13" s="32">
        <f t="shared" si="8"/>
        <v>13034365</v>
      </c>
      <c r="G13" s="32">
        <f t="shared" si="8"/>
        <v>8528323</v>
      </c>
      <c r="H13" s="32">
        <f t="shared" si="8"/>
        <v>5028939</v>
      </c>
      <c r="I13" s="32">
        <f t="shared" si="8"/>
        <v>2498897</v>
      </c>
      <c r="J13" s="32">
        <f t="shared" si="8"/>
        <v>1142626</v>
      </c>
      <c r="L13" s="12">
        <f t="shared" ref="L13:T13" si="9">IFERROR(B13/B22,"")</f>
        <v>0.70662218331656557</v>
      </c>
      <c r="M13" s="12">
        <f t="shared" si="9"/>
        <v>0.6911697902627264</v>
      </c>
      <c r="N13" s="12">
        <f t="shared" si="9"/>
        <v>0.69116978091659431</v>
      </c>
      <c r="O13" s="12">
        <f t="shared" si="9"/>
        <v>0.69502344018682416</v>
      </c>
      <c r="P13" s="12">
        <f t="shared" si="9"/>
        <v>0.69502345891768669</v>
      </c>
      <c r="Q13" s="12">
        <f t="shared" si="9"/>
        <v>0.72209265838741343</v>
      </c>
      <c r="R13" s="12">
        <f t="shared" si="9"/>
        <v>0.78357281753080421</v>
      </c>
      <c r="S13" s="12">
        <f t="shared" si="9"/>
        <v>0.78459314546906256</v>
      </c>
      <c r="T13" s="12">
        <f t="shared" si="9"/>
        <v>0.67823224384939385</v>
      </c>
    </row>
    <row r="14" spans="1:20" ht="15.75" customHeight="1" x14ac:dyDescent="0.2">
      <c r="A14" s="26" t="s">
        <v>284</v>
      </c>
      <c r="B14" s="28"/>
      <c r="C14" s="28"/>
      <c r="D14" s="28"/>
      <c r="E14" s="28"/>
      <c r="F14" s="28"/>
      <c r="G14" s="28"/>
      <c r="H14" s="28"/>
      <c r="I14" s="28"/>
      <c r="J14" s="28"/>
    </row>
    <row r="15" spans="1:20" ht="15" customHeight="1" x14ac:dyDescent="0.2">
      <c r="A15" s="29" t="s">
        <v>285</v>
      </c>
      <c r="B15" s="30">
        <v>53787</v>
      </c>
      <c r="C15" s="30">
        <v>19038</v>
      </c>
      <c r="D15" s="30">
        <v>14545</v>
      </c>
      <c r="E15" s="30">
        <v>13453</v>
      </c>
      <c r="F15" s="30">
        <v>9318</v>
      </c>
      <c r="G15" s="30">
        <v>14217</v>
      </c>
      <c r="H15" s="30">
        <v>8628</v>
      </c>
      <c r="I15" s="30">
        <v>8455</v>
      </c>
      <c r="J15" s="30">
        <v>1020</v>
      </c>
      <c r="L15" s="10">
        <f t="shared" ref="L15:T15" si="10">IFERROR(B15/B22,"")</f>
        <v>1.0612134313747463E-3</v>
      </c>
      <c r="M15" s="10">
        <f t="shared" si="10"/>
        <v>4.7606751726663729E-4</v>
      </c>
      <c r="N15" s="10">
        <f t="shared" si="10"/>
        <v>4.7607473257168793E-4</v>
      </c>
      <c r="O15" s="10">
        <f t="shared" si="10"/>
        <v>4.9685011871515811E-4</v>
      </c>
      <c r="P15" s="10">
        <f t="shared" si="10"/>
        <v>4.9685800498873597E-4</v>
      </c>
      <c r="Q15" s="10">
        <f t="shared" si="10"/>
        <v>1.2037526397972798E-3</v>
      </c>
      <c r="R15" s="10">
        <f t="shared" si="10"/>
        <v>1.3443524110465007E-3</v>
      </c>
      <c r="S15" s="10">
        <f t="shared" si="10"/>
        <v>2.6546652562874436E-3</v>
      </c>
      <c r="T15" s="10">
        <f t="shared" si="10"/>
        <v>6.0544472883199032E-4</v>
      </c>
    </row>
    <row r="16" spans="1:20" ht="15" customHeight="1" x14ac:dyDescent="0.2">
      <c r="A16" s="29" t="s">
        <v>286</v>
      </c>
      <c r="B16" s="30">
        <v>1975807</v>
      </c>
      <c r="C16" s="30">
        <v>1219952</v>
      </c>
      <c r="D16" s="30">
        <v>932027</v>
      </c>
      <c r="E16" s="30">
        <v>374018</v>
      </c>
      <c r="F16" s="30">
        <v>259053</v>
      </c>
      <c r="G16" s="30">
        <v>56591</v>
      </c>
      <c r="H16" s="30">
        <v>34343</v>
      </c>
      <c r="I16" s="30">
        <v>0</v>
      </c>
      <c r="J16" s="30">
        <v>16594</v>
      </c>
      <c r="L16" s="10">
        <f t="shared" ref="L16:T16" si="11">IFERROR(B16/B22,"")</f>
        <v>3.8982522286133144E-2</v>
      </c>
      <c r="M16" s="10">
        <f t="shared" si="11"/>
        <v>3.0506330487680883E-2</v>
      </c>
      <c r="N16" s="10">
        <f t="shared" si="11"/>
        <v>3.0506325525925929E-2</v>
      </c>
      <c r="O16" s="10">
        <f t="shared" si="11"/>
        <v>1.3813341834654425E-2</v>
      </c>
      <c r="P16" s="10">
        <f t="shared" si="11"/>
        <v>1.381332440076701E-2</v>
      </c>
      <c r="Q16" s="10">
        <f t="shared" si="11"/>
        <v>4.7915569838058569E-3</v>
      </c>
      <c r="R16" s="10">
        <f t="shared" si="11"/>
        <v>5.3510772893567427E-3</v>
      </c>
      <c r="S16" s="10">
        <f t="shared" si="11"/>
        <v>0</v>
      </c>
      <c r="T16" s="10">
        <f t="shared" si="11"/>
        <v>9.849754735527497E-3</v>
      </c>
    </row>
    <row r="17" spans="1:20" ht="15" customHeight="1" x14ac:dyDescent="0.2">
      <c r="A17" s="29" t="s">
        <v>21</v>
      </c>
      <c r="B17" s="30">
        <v>9987391</v>
      </c>
      <c r="C17" s="30">
        <v>7416747</v>
      </c>
      <c r="D17" s="30">
        <v>5666296</v>
      </c>
      <c r="E17" s="30">
        <v>4253379</v>
      </c>
      <c r="F17" s="30">
        <v>2945987</v>
      </c>
      <c r="G17" s="30">
        <v>2229485</v>
      </c>
      <c r="H17" s="30">
        <v>886361</v>
      </c>
      <c r="I17" s="30">
        <v>521633</v>
      </c>
      <c r="J17" s="30">
        <v>444798</v>
      </c>
      <c r="L17" s="10">
        <f t="shared" ref="L17:T17" si="12">IFERROR(B17/B22,"")</f>
        <v>0.19705046709411678</v>
      </c>
      <c r="M17" s="10">
        <f t="shared" si="12"/>
        <v>0.18546445690118607</v>
      </c>
      <c r="N17" s="10">
        <f t="shared" si="12"/>
        <v>0.18546444502385873</v>
      </c>
      <c r="O17" s="10">
        <f t="shared" si="12"/>
        <v>0.15708703345651975</v>
      </c>
      <c r="P17" s="10">
        <f t="shared" si="12"/>
        <v>0.15708705983502375</v>
      </c>
      <c r="Q17" s="10">
        <f t="shared" si="12"/>
        <v>0.18877037730452545</v>
      </c>
      <c r="R17" s="10">
        <f t="shared" si="12"/>
        <v>0.13810634531845009</v>
      </c>
      <c r="S17" s="10">
        <f t="shared" si="12"/>
        <v>0.16378013029367097</v>
      </c>
      <c r="T17" s="10">
        <f t="shared" si="12"/>
        <v>0.2640202004853055</v>
      </c>
    </row>
    <row r="18" spans="1:20" ht="15" customHeight="1" x14ac:dyDescent="0.2">
      <c r="A18" s="29" t="s">
        <v>287</v>
      </c>
      <c r="B18" s="30">
        <v>1659111</v>
      </c>
      <c r="C18" s="30">
        <v>2712272</v>
      </c>
      <c r="D18" s="30">
        <v>2072140</v>
      </c>
      <c r="E18" s="30">
        <v>1896818</v>
      </c>
      <c r="F18" s="30">
        <v>1313779</v>
      </c>
      <c r="G18" s="30">
        <v>539087</v>
      </c>
      <c r="H18" s="30">
        <v>194067</v>
      </c>
      <c r="I18" s="30">
        <v>108519</v>
      </c>
      <c r="J18" s="30">
        <v>78234</v>
      </c>
      <c r="L18" s="10">
        <f t="shared" ref="L18:T18" si="13">IFERROR(B18/B22,"")</f>
        <v>3.2734134220937898E-2</v>
      </c>
      <c r="M18" s="10">
        <f t="shared" si="13"/>
        <v>6.7823542241402288E-2</v>
      </c>
      <c r="N18" s="10">
        <f t="shared" si="13"/>
        <v>6.782354735999295E-2</v>
      </c>
      <c r="O18" s="10">
        <f t="shared" si="13"/>
        <v>7.0053835462800029E-2</v>
      </c>
      <c r="P18" s="10">
        <f t="shared" si="13"/>
        <v>7.0053832682560255E-2</v>
      </c>
      <c r="Q18" s="10">
        <f t="shared" si="13"/>
        <v>4.5644467843454752E-2</v>
      </c>
      <c r="R18" s="10">
        <f t="shared" si="13"/>
        <v>3.0238113045266721E-2</v>
      </c>
      <c r="S18" s="10">
        <f t="shared" si="13"/>
        <v>3.4072338136848859E-2</v>
      </c>
      <c r="T18" s="10">
        <f t="shared" si="13"/>
        <v>4.6437610701413654E-2</v>
      </c>
    </row>
    <row r="19" spans="1:20" ht="15" customHeight="1" x14ac:dyDescent="0.2">
      <c r="A19" s="29" t="s">
        <v>288</v>
      </c>
      <c r="B19" s="30">
        <v>325933</v>
      </c>
      <c r="C19" s="30">
        <v>137244</v>
      </c>
      <c r="D19" s="30">
        <v>104853</v>
      </c>
      <c r="E19" s="30">
        <v>951626</v>
      </c>
      <c r="F19" s="30">
        <v>659117</v>
      </c>
      <c r="G19" s="30">
        <v>63095</v>
      </c>
      <c r="H19" s="30">
        <v>35156</v>
      </c>
      <c r="I19" s="30">
        <v>1530</v>
      </c>
      <c r="J19" s="30">
        <v>1440</v>
      </c>
      <c r="L19" s="10">
        <f t="shared" ref="L19:T19" si="14">IFERROR(B19/B22,"")</f>
        <v>6.4306333747609131E-3</v>
      </c>
      <c r="M19" s="10">
        <f t="shared" si="14"/>
        <v>3.4319471761604351E-3</v>
      </c>
      <c r="N19" s="10">
        <f t="shared" si="14"/>
        <v>3.4319603942481402E-3</v>
      </c>
      <c r="O19" s="10">
        <f t="shared" si="14"/>
        <v>3.5145728913434253E-2</v>
      </c>
      <c r="P19" s="10">
        <f t="shared" si="14"/>
        <v>3.514569195902132E-2</v>
      </c>
      <c r="Q19" s="10">
        <f t="shared" si="14"/>
        <v>5.3422503206027551E-3</v>
      </c>
      <c r="R19" s="10">
        <f t="shared" si="14"/>
        <v>5.477753055488037E-3</v>
      </c>
      <c r="S19" s="10">
        <f t="shared" si="14"/>
        <v>4.8038294998459951E-4</v>
      </c>
      <c r="T19" s="10">
        <f t="shared" si="14"/>
        <v>8.5474549952751567E-4</v>
      </c>
    </row>
    <row r="20" spans="1:20" ht="15" customHeight="1" x14ac:dyDescent="0.2">
      <c r="A20" s="29" t="s">
        <v>289</v>
      </c>
      <c r="B20" s="30">
        <v>867659</v>
      </c>
      <c r="C20" s="30">
        <v>844906</v>
      </c>
      <c r="D20" s="30">
        <v>645497</v>
      </c>
      <c r="E20" s="30">
        <v>768427</v>
      </c>
      <c r="F20" s="30">
        <v>532230</v>
      </c>
      <c r="G20" s="30">
        <v>379768</v>
      </c>
      <c r="H20" s="30">
        <v>230466</v>
      </c>
      <c r="I20" s="30">
        <v>45925</v>
      </c>
      <c r="J20" s="30">
        <v>0</v>
      </c>
      <c r="L20" s="10">
        <f t="shared" ref="L20:T20" si="15">IFERROR(B20/B22,"")</f>
        <v>1.7118846276110978E-2</v>
      </c>
      <c r="M20" s="10">
        <f t="shared" si="15"/>
        <v>2.1127865413577342E-2</v>
      </c>
      <c r="N20" s="10">
        <f t="shared" si="15"/>
        <v>2.1127866046808309E-2</v>
      </c>
      <c r="O20" s="10">
        <f t="shared" si="15"/>
        <v>2.8379770027052165E-2</v>
      </c>
      <c r="P20" s="10">
        <f t="shared" si="15"/>
        <v>2.8379774199952235E-2</v>
      </c>
      <c r="Q20" s="10">
        <f t="shared" si="15"/>
        <v>3.2154936520400461E-2</v>
      </c>
      <c r="R20" s="10">
        <f t="shared" si="15"/>
        <v>3.5909541349587716E-2</v>
      </c>
      <c r="S20" s="10">
        <f t="shared" si="15"/>
        <v>1.4419337894145576E-2</v>
      </c>
      <c r="T20" s="10">
        <f t="shared" si="15"/>
        <v>0</v>
      </c>
    </row>
    <row r="21" spans="1:20" ht="15" customHeight="1" x14ac:dyDescent="0.2">
      <c r="A21" s="31" t="s">
        <v>24</v>
      </c>
      <c r="B21" s="32">
        <f t="shared" ref="B21:J21" si="16">SUM(B15:B20)</f>
        <v>14869688</v>
      </c>
      <c r="C21" s="32">
        <f t="shared" si="16"/>
        <v>12350159</v>
      </c>
      <c r="D21" s="32">
        <f t="shared" si="16"/>
        <v>9435358</v>
      </c>
      <c r="E21" s="32">
        <f t="shared" si="16"/>
        <v>8257721</v>
      </c>
      <c r="F21" s="32">
        <f t="shared" si="16"/>
        <v>5719484</v>
      </c>
      <c r="G21" s="32">
        <f t="shared" si="16"/>
        <v>3282243</v>
      </c>
      <c r="H21" s="32">
        <f t="shared" si="16"/>
        <v>1389021</v>
      </c>
      <c r="I21" s="32">
        <f t="shared" si="16"/>
        <v>686062</v>
      </c>
      <c r="J21" s="32">
        <f t="shared" si="16"/>
        <v>542086</v>
      </c>
      <c r="L21" s="12">
        <f t="shared" ref="L21:T21" si="17">IFERROR(B21/B22,"")</f>
        <v>0.29337781668343449</v>
      </c>
      <c r="M21" s="12">
        <f t="shared" si="17"/>
        <v>0.30883020973727365</v>
      </c>
      <c r="N21" s="12">
        <f t="shared" si="17"/>
        <v>0.30883021908340574</v>
      </c>
      <c r="O21" s="12">
        <f t="shared" si="17"/>
        <v>0.30497655981317578</v>
      </c>
      <c r="P21" s="12">
        <f t="shared" si="17"/>
        <v>0.30497654108231331</v>
      </c>
      <c r="Q21" s="12">
        <f t="shared" si="17"/>
        <v>0.27790734161258657</v>
      </c>
      <c r="R21" s="12">
        <f t="shared" si="17"/>
        <v>0.21642718246919582</v>
      </c>
      <c r="S21" s="12">
        <f t="shared" si="17"/>
        <v>0.21540685453093744</v>
      </c>
      <c r="T21" s="12">
        <f t="shared" si="17"/>
        <v>0.32176775615060615</v>
      </c>
    </row>
    <row r="22" spans="1:20" ht="15" customHeight="1" x14ac:dyDescent="0.2">
      <c r="A22" s="31" t="s">
        <v>25</v>
      </c>
      <c r="B22" s="32">
        <f t="shared" ref="B22:J22" si="18">B13+B21</f>
        <v>50684432</v>
      </c>
      <c r="C22" s="32">
        <f t="shared" si="18"/>
        <v>39990126</v>
      </c>
      <c r="D22" s="32">
        <f t="shared" si="18"/>
        <v>30551926</v>
      </c>
      <c r="E22" s="32">
        <f t="shared" si="18"/>
        <v>27076576</v>
      </c>
      <c r="F22" s="32">
        <f t="shared" si="18"/>
        <v>18753849</v>
      </c>
      <c r="G22" s="32">
        <f t="shared" si="18"/>
        <v>11810566</v>
      </c>
      <c r="H22" s="32">
        <f t="shared" si="18"/>
        <v>6417960</v>
      </c>
      <c r="I22" s="32">
        <f t="shared" si="18"/>
        <v>3184959</v>
      </c>
      <c r="J22" s="32">
        <f t="shared" si="18"/>
        <v>1684712</v>
      </c>
      <c r="L22" s="12">
        <f t="shared" ref="L22:T22" si="19">IFERROR(B22/B22,"")</f>
        <v>1</v>
      </c>
      <c r="M22" s="12">
        <f t="shared" si="19"/>
        <v>1</v>
      </c>
      <c r="N22" s="12">
        <f t="shared" si="19"/>
        <v>1</v>
      </c>
      <c r="O22" s="12">
        <f t="shared" si="19"/>
        <v>1</v>
      </c>
      <c r="P22" s="12">
        <f t="shared" si="19"/>
        <v>1</v>
      </c>
      <c r="Q22" s="12">
        <f t="shared" si="19"/>
        <v>1</v>
      </c>
      <c r="R22" s="12">
        <f t="shared" si="19"/>
        <v>1</v>
      </c>
      <c r="S22" s="12">
        <f t="shared" si="19"/>
        <v>1</v>
      </c>
      <c r="T22" s="12">
        <f t="shared" si="19"/>
        <v>1</v>
      </c>
    </row>
    <row r="23" spans="1:20" ht="15.75" customHeight="1" x14ac:dyDescent="0.2">
      <c r="A23" s="26" t="s">
        <v>290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20" ht="15.75" customHeight="1" x14ac:dyDescent="0.2">
      <c r="A24" s="26" t="s">
        <v>291</v>
      </c>
      <c r="B24" s="28"/>
      <c r="C24" s="28"/>
      <c r="D24" s="28"/>
      <c r="E24" s="28"/>
      <c r="F24" s="28"/>
      <c r="G24" s="28"/>
      <c r="H24" s="28"/>
      <c r="I24" s="28"/>
      <c r="J24" s="28"/>
    </row>
    <row r="25" spans="1:20" ht="15" customHeight="1" x14ac:dyDescent="0.2">
      <c r="A25" s="29" t="s">
        <v>292</v>
      </c>
      <c r="B25" s="30">
        <v>4544363</v>
      </c>
      <c r="C25" s="30">
        <v>2340507</v>
      </c>
      <c r="D25" s="30">
        <v>1788116</v>
      </c>
      <c r="E25" s="30">
        <v>1260497</v>
      </c>
      <c r="F25" s="30">
        <v>873048</v>
      </c>
      <c r="G25" s="30">
        <v>1668858</v>
      </c>
      <c r="H25" s="30">
        <v>1012762</v>
      </c>
      <c r="I25" s="30">
        <v>895927</v>
      </c>
      <c r="J25" s="30">
        <v>398875</v>
      </c>
      <c r="L25" s="10">
        <f t="shared" ref="L25:T25" si="20">IFERROR(B25/B22,"")</f>
        <v>8.9659937394583014E-2</v>
      </c>
      <c r="M25" s="10">
        <f t="shared" si="20"/>
        <v>5.8527122420169421E-2</v>
      </c>
      <c r="N25" s="10">
        <f t="shared" si="20"/>
        <v>5.8527112169622302E-2</v>
      </c>
      <c r="O25" s="10">
        <f t="shared" si="20"/>
        <v>4.6553042748093409E-2</v>
      </c>
      <c r="P25" s="10">
        <f t="shared" si="20"/>
        <v>4.6553003599421112E-2</v>
      </c>
      <c r="Q25" s="10">
        <f t="shared" si="20"/>
        <v>0.14130211879769353</v>
      </c>
      <c r="R25" s="10">
        <f t="shared" si="20"/>
        <v>0.15780123279048172</v>
      </c>
      <c r="S25" s="10">
        <f t="shared" si="20"/>
        <v>0.28129938250382502</v>
      </c>
      <c r="T25" s="10">
        <f t="shared" si="20"/>
        <v>0.23676153550280404</v>
      </c>
    </row>
    <row r="26" spans="1:20" ht="15" customHeight="1" x14ac:dyDescent="0.2">
      <c r="A26" s="29" t="s">
        <v>293</v>
      </c>
      <c r="B26" s="30">
        <v>72421</v>
      </c>
      <c r="C26" s="30">
        <v>157411</v>
      </c>
      <c r="D26" s="30">
        <v>120260</v>
      </c>
      <c r="E26" s="30">
        <v>272839</v>
      </c>
      <c r="F26" s="30">
        <v>188974</v>
      </c>
      <c r="G26" s="30">
        <v>186580</v>
      </c>
      <c r="H26" s="30">
        <v>113228</v>
      </c>
      <c r="I26" s="30">
        <v>125345</v>
      </c>
      <c r="J26" s="30">
        <v>0</v>
      </c>
      <c r="L26" s="10">
        <f t="shared" ref="L26:T26" si="21">IFERROR(B26/B22,"")</f>
        <v>1.4288608383734081E-3</v>
      </c>
      <c r="M26" s="10">
        <f t="shared" si="21"/>
        <v>3.9362466624886351E-3</v>
      </c>
      <c r="N26" s="10">
        <f t="shared" si="21"/>
        <v>3.9362493873544993E-3</v>
      </c>
      <c r="O26" s="10">
        <f t="shared" si="21"/>
        <v>1.0076569504209099E-2</v>
      </c>
      <c r="P26" s="10">
        <f t="shared" si="21"/>
        <v>1.0076544820212641E-2</v>
      </c>
      <c r="Q26" s="10">
        <f t="shared" si="21"/>
        <v>1.5797718754545716E-2</v>
      </c>
      <c r="R26" s="10">
        <f t="shared" si="21"/>
        <v>1.7642366110103523E-2</v>
      </c>
      <c r="S26" s="10">
        <f t="shared" si="21"/>
        <v>3.9355294683542236E-2</v>
      </c>
      <c r="T26" s="10">
        <f t="shared" si="21"/>
        <v>0</v>
      </c>
    </row>
    <row r="27" spans="1:20" ht="15" customHeight="1" x14ac:dyDescent="0.2">
      <c r="A27" s="29" t="s">
        <v>294</v>
      </c>
      <c r="B27" s="30">
        <v>3254658</v>
      </c>
      <c r="C27" s="30">
        <v>2197236</v>
      </c>
      <c r="D27" s="30">
        <v>1678659</v>
      </c>
      <c r="E27" s="30">
        <v>2433085</v>
      </c>
      <c r="F27" s="30">
        <v>1685210</v>
      </c>
      <c r="G27" s="30">
        <v>1560368</v>
      </c>
      <c r="H27" s="30">
        <v>946924</v>
      </c>
      <c r="I27" s="30">
        <v>466179</v>
      </c>
      <c r="J27" s="30">
        <v>265003</v>
      </c>
      <c r="L27" s="10">
        <f t="shared" ref="L27:T27" si="22">IFERROR(B27/B22,"")</f>
        <v>6.4214155541883158E-2</v>
      </c>
      <c r="M27" s="10">
        <f t="shared" si="22"/>
        <v>5.4944463040701594E-2</v>
      </c>
      <c r="N27" s="10">
        <f t="shared" si="22"/>
        <v>5.4944457511451161E-2</v>
      </c>
      <c r="O27" s="10">
        <f t="shared" si="22"/>
        <v>8.9859404675096288E-2</v>
      </c>
      <c r="P27" s="10">
        <f t="shared" si="22"/>
        <v>8.9859420324862382E-2</v>
      </c>
      <c r="Q27" s="10">
        <f t="shared" si="22"/>
        <v>0.13211627622249433</v>
      </c>
      <c r="R27" s="10">
        <f t="shared" si="22"/>
        <v>0.14754283292510392</v>
      </c>
      <c r="S27" s="10">
        <f t="shared" si="22"/>
        <v>0.14636891715089581</v>
      </c>
      <c r="T27" s="10">
        <f t="shared" si="22"/>
        <v>0.15729869556339601</v>
      </c>
    </row>
    <row r="28" spans="1:20" ht="15" customHeight="1" x14ac:dyDescent="0.2">
      <c r="A28" s="29" t="s">
        <v>295</v>
      </c>
      <c r="B28" s="30">
        <v>348883</v>
      </c>
      <c r="C28" s="30">
        <v>177062</v>
      </c>
      <c r="D28" s="30">
        <v>135273</v>
      </c>
      <c r="E28" s="30">
        <v>74156</v>
      </c>
      <c r="F28" s="30">
        <v>51362</v>
      </c>
      <c r="G28" s="30">
        <v>46780</v>
      </c>
      <c r="H28" s="30">
        <v>28389</v>
      </c>
      <c r="I28" s="30">
        <v>16194</v>
      </c>
      <c r="J28" s="30">
        <v>6720</v>
      </c>
    </row>
    <row r="29" spans="1:20" ht="15" customHeight="1" x14ac:dyDescent="0.2">
      <c r="A29" s="29" t="s">
        <v>296</v>
      </c>
      <c r="B29" s="30">
        <v>0</v>
      </c>
      <c r="C29" s="30">
        <v>0</v>
      </c>
      <c r="D29" s="30">
        <v>0</v>
      </c>
      <c r="E29" s="30">
        <v>1</v>
      </c>
      <c r="F29" s="30">
        <v>1</v>
      </c>
      <c r="G29" s="30">
        <v>0</v>
      </c>
      <c r="H29" s="30">
        <v>0</v>
      </c>
      <c r="I29" s="30">
        <v>2744</v>
      </c>
      <c r="J29" s="30">
        <v>18006</v>
      </c>
      <c r="L29" s="10">
        <f t="shared" ref="L29:T29" si="23">IFERROR(B29/B22,"")</f>
        <v>0</v>
      </c>
      <c r="M29" s="10">
        <f t="shared" si="23"/>
        <v>0</v>
      </c>
      <c r="N29" s="10">
        <f t="shared" si="23"/>
        <v>0</v>
      </c>
      <c r="O29" s="10">
        <f t="shared" si="23"/>
        <v>3.6932291586646701E-8</v>
      </c>
      <c r="P29" s="10">
        <f t="shared" si="23"/>
        <v>5.3322387313665585E-8</v>
      </c>
      <c r="Q29" s="10">
        <f t="shared" si="23"/>
        <v>0</v>
      </c>
      <c r="R29" s="10">
        <f t="shared" si="23"/>
        <v>0</v>
      </c>
      <c r="S29" s="10">
        <f t="shared" si="23"/>
        <v>8.6154955212924247E-4</v>
      </c>
      <c r="T29" s="10">
        <f t="shared" si="23"/>
        <v>1.0687880183675311E-2</v>
      </c>
    </row>
    <row r="30" spans="1:20" ht="15" customHeight="1" x14ac:dyDescent="0.2">
      <c r="A30" s="29" t="s">
        <v>297</v>
      </c>
      <c r="B30" s="30">
        <v>8188150</v>
      </c>
      <c r="C30" s="30">
        <v>7270576</v>
      </c>
      <c r="D30" s="30">
        <v>5554624</v>
      </c>
      <c r="E30" s="30">
        <v>4805138</v>
      </c>
      <c r="F30" s="30">
        <v>3328148</v>
      </c>
      <c r="G30" s="30">
        <v>1023771</v>
      </c>
      <c r="H30" s="30">
        <v>617896</v>
      </c>
      <c r="I30" s="30">
        <v>202160</v>
      </c>
      <c r="J30" s="30">
        <v>79407</v>
      </c>
      <c r="L30" s="10">
        <f t="shared" ref="L30:T30" si="24">IFERROR(B30/B22,"")</f>
        <v>0.16155157859912486</v>
      </c>
      <c r="M30" s="10">
        <f t="shared" si="24"/>
        <v>0.18180927962067436</v>
      </c>
      <c r="N30" s="10">
        <f t="shared" si="24"/>
        <v>0.18180929084470812</v>
      </c>
      <c r="O30" s="10">
        <f t="shared" si="24"/>
        <v>0.17746475773007636</v>
      </c>
      <c r="P30" s="10">
        <f t="shared" si="24"/>
        <v>0.17746479669320148</v>
      </c>
      <c r="Q30" s="10">
        <f t="shared" si="24"/>
        <v>8.6682636547647254E-2</v>
      </c>
      <c r="R30" s="10">
        <f t="shared" si="24"/>
        <v>9.6276075263790992E-2</v>
      </c>
      <c r="S30" s="10">
        <f t="shared" si="24"/>
        <v>6.3473344554827865E-2</v>
      </c>
      <c r="T30" s="10">
        <f t="shared" si="24"/>
        <v>4.7133872139570446E-2</v>
      </c>
    </row>
    <row r="31" spans="1:20" ht="15" customHeight="1" x14ac:dyDescent="0.2">
      <c r="A31" s="29" t="s">
        <v>298</v>
      </c>
      <c r="B31" s="30">
        <v>129410</v>
      </c>
      <c r="C31" s="30">
        <v>0</v>
      </c>
      <c r="D31" s="30">
        <v>0</v>
      </c>
      <c r="E31" s="30">
        <v>0</v>
      </c>
      <c r="F31" s="30">
        <v>0</v>
      </c>
      <c r="G31" s="30">
        <v>131246</v>
      </c>
      <c r="H31" s="30">
        <v>79648</v>
      </c>
      <c r="I31" s="30">
        <v>41060</v>
      </c>
      <c r="J31" s="30">
        <v>0</v>
      </c>
      <c r="L31" s="10">
        <f t="shared" ref="L31:T31" si="25">IFERROR(B31/B22,"")</f>
        <v>2.5532494869430519E-3</v>
      </c>
      <c r="M31" s="10">
        <f t="shared" si="25"/>
        <v>0</v>
      </c>
      <c r="N31" s="10">
        <f t="shared" si="25"/>
        <v>0</v>
      </c>
      <c r="O31" s="10">
        <f t="shared" si="25"/>
        <v>0</v>
      </c>
      <c r="P31" s="10">
        <f t="shared" si="25"/>
        <v>0</v>
      </c>
      <c r="Q31" s="10">
        <f t="shared" si="25"/>
        <v>1.1112591894410479E-2</v>
      </c>
      <c r="R31" s="10">
        <f t="shared" si="25"/>
        <v>1.2410173949354623E-2</v>
      </c>
      <c r="S31" s="10">
        <f t="shared" si="25"/>
        <v>1.2891845703508271E-2</v>
      </c>
      <c r="T31" s="10">
        <f t="shared" si="25"/>
        <v>0</v>
      </c>
    </row>
    <row r="32" spans="1:20" ht="15" customHeight="1" x14ac:dyDescent="0.2">
      <c r="A32" s="29" t="s">
        <v>299</v>
      </c>
      <c r="B32" s="30">
        <v>342988</v>
      </c>
      <c r="C32" s="30">
        <v>60243</v>
      </c>
      <c r="D32" s="30">
        <v>46025</v>
      </c>
      <c r="E32" s="30">
        <v>19610</v>
      </c>
      <c r="F32" s="30">
        <v>13582</v>
      </c>
      <c r="G32" s="30">
        <v>13127</v>
      </c>
      <c r="H32" s="30">
        <v>7966</v>
      </c>
      <c r="I32" s="30">
        <v>2845</v>
      </c>
      <c r="J32" s="30">
        <v>1818</v>
      </c>
      <c r="L32" s="10">
        <f t="shared" ref="L32:T32" si="26">IFERROR(B32/B22,"")</f>
        <v>6.7671272314938835E-3</v>
      </c>
      <c r="M32" s="10">
        <f t="shared" si="26"/>
        <v>1.506446866408973E-3</v>
      </c>
      <c r="N32" s="10">
        <f t="shared" si="26"/>
        <v>1.506451671819315E-3</v>
      </c>
      <c r="O32" s="10">
        <f t="shared" si="26"/>
        <v>7.2424223801414187E-4</v>
      </c>
      <c r="P32" s="10">
        <f t="shared" si="26"/>
        <v>7.2422466449420595E-4</v>
      </c>
      <c r="Q32" s="10">
        <f t="shared" si="26"/>
        <v>1.1114623973144048E-3</v>
      </c>
      <c r="R32" s="10">
        <f t="shared" si="26"/>
        <v>1.2412043702360251E-3</v>
      </c>
      <c r="S32" s="10">
        <f t="shared" si="26"/>
        <v>8.932611063439121E-4</v>
      </c>
      <c r="T32" s="10">
        <f t="shared" si="26"/>
        <v>1.0791161931534886E-3</v>
      </c>
    </row>
    <row r="33" spans="1:20" ht="15" customHeight="1" x14ac:dyDescent="0.2">
      <c r="A33" s="29" t="s">
        <v>300</v>
      </c>
      <c r="B33" s="30">
        <v>436151</v>
      </c>
      <c r="C33" s="30">
        <v>415228</v>
      </c>
      <c r="D33" s="30">
        <v>317228</v>
      </c>
      <c r="E33" s="30">
        <v>376693</v>
      </c>
      <c r="F33" s="30">
        <v>260906</v>
      </c>
      <c r="G33" s="30">
        <v>198897</v>
      </c>
      <c r="H33" s="30">
        <v>120703</v>
      </c>
      <c r="I33" s="30">
        <v>12497</v>
      </c>
      <c r="J33" s="30">
        <v>2611</v>
      </c>
      <c r="L33" s="10">
        <f t="shared" ref="L33:T33" si="27">IFERROR(B33/B22,"")</f>
        <v>8.6052261570179964E-3</v>
      </c>
      <c r="M33" s="10">
        <f t="shared" si="27"/>
        <v>1.0383263108498332E-2</v>
      </c>
      <c r="N33" s="10">
        <f t="shared" si="27"/>
        <v>1.038324065068762E-2</v>
      </c>
      <c r="O33" s="10">
        <f t="shared" si="27"/>
        <v>1.3912135714648706E-2</v>
      </c>
      <c r="P33" s="10">
        <f t="shared" si="27"/>
        <v>1.3912130784459234E-2</v>
      </c>
      <c r="Q33" s="10">
        <f t="shared" si="27"/>
        <v>1.6840598494602205E-2</v>
      </c>
      <c r="R33" s="10">
        <f t="shared" si="27"/>
        <v>1.880706641985927E-2</v>
      </c>
      <c r="S33" s="10">
        <f t="shared" si="27"/>
        <v>3.9237553764428362E-3</v>
      </c>
      <c r="T33" s="10">
        <f t="shared" si="27"/>
        <v>1.549819791157183E-3</v>
      </c>
    </row>
    <row r="34" spans="1:20" ht="15" customHeight="1" x14ac:dyDescent="0.2">
      <c r="A34" s="29" t="s">
        <v>301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62632</v>
      </c>
      <c r="J34" s="30">
        <v>0</v>
      </c>
      <c r="L34" s="10">
        <f t="shared" ref="L34:T34" si="28">IFERROR(B34/B22,"")</f>
        <v>0</v>
      </c>
      <c r="M34" s="10">
        <f t="shared" si="28"/>
        <v>0</v>
      </c>
      <c r="N34" s="10">
        <f t="shared" si="28"/>
        <v>0</v>
      </c>
      <c r="O34" s="10">
        <f t="shared" si="28"/>
        <v>0</v>
      </c>
      <c r="P34" s="10">
        <f t="shared" si="28"/>
        <v>0</v>
      </c>
      <c r="Q34" s="10">
        <f t="shared" si="28"/>
        <v>0</v>
      </c>
      <c r="R34" s="10">
        <f t="shared" si="28"/>
        <v>0</v>
      </c>
      <c r="S34" s="10">
        <f t="shared" si="28"/>
        <v>1.966493132250682E-2</v>
      </c>
      <c r="T34" s="10">
        <f t="shared" si="28"/>
        <v>0</v>
      </c>
    </row>
    <row r="35" spans="1:20" ht="15" customHeight="1" x14ac:dyDescent="0.2">
      <c r="A35" s="31" t="s">
        <v>31</v>
      </c>
      <c r="B35" s="32">
        <f t="shared" ref="B35:J35" si="29">SUM(B25:B34)</f>
        <v>17317024</v>
      </c>
      <c r="C35" s="32">
        <f t="shared" si="29"/>
        <v>12618263</v>
      </c>
      <c r="D35" s="32">
        <f t="shared" si="29"/>
        <v>9640185</v>
      </c>
      <c r="E35" s="32">
        <f t="shared" si="29"/>
        <v>9242019</v>
      </c>
      <c r="F35" s="32">
        <f t="shared" si="29"/>
        <v>6401231</v>
      </c>
      <c r="G35" s="32">
        <f t="shared" si="29"/>
        <v>4829627</v>
      </c>
      <c r="H35" s="32">
        <f t="shared" si="29"/>
        <v>2927516</v>
      </c>
      <c r="I35" s="32">
        <f t="shared" si="29"/>
        <v>1827583</v>
      </c>
      <c r="J35" s="32">
        <f t="shared" si="29"/>
        <v>772440</v>
      </c>
      <c r="L35" s="12">
        <f t="shared" ref="L35:T35" si="30">IFERROR(B35/B22,"")</f>
        <v>0.34166357038390011</v>
      </c>
      <c r="M35" s="12">
        <f t="shared" si="30"/>
        <v>0.31553446468260687</v>
      </c>
      <c r="N35" s="12">
        <f t="shared" si="30"/>
        <v>0.31553444453878293</v>
      </c>
      <c r="O35" s="12">
        <f t="shared" si="30"/>
        <v>0.34132894055732899</v>
      </c>
      <c r="P35" s="12">
        <f t="shared" si="30"/>
        <v>0.34132891866624288</v>
      </c>
      <c r="Q35" s="12">
        <f t="shared" si="30"/>
        <v>0.40892426324022069</v>
      </c>
      <c r="R35" s="12">
        <f t="shared" si="30"/>
        <v>0.4561443200019944</v>
      </c>
      <c r="S35" s="12">
        <f t="shared" si="30"/>
        <v>0.57381680580503547</v>
      </c>
      <c r="T35" s="12">
        <f t="shared" si="30"/>
        <v>0.45849973170488489</v>
      </c>
    </row>
    <row r="36" spans="1:20" ht="15.75" customHeight="1" x14ac:dyDescent="0.2">
      <c r="A36" s="26" t="s">
        <v>302</v>
      </c>
      <c r="B36" s="28"/>
      <c r="C36" s="28"/>
      <c r="D36" s="28"/>
      <c r="E36" s="28"/>
      <c r="F36" s="28"/>
      <c r="G36" s="28"/>
      <c r="H36" s="28"/>
      <c r="I36" s="28"/>
      <c r="J36" s="28"/>
    </row>
    <row r="37" spans="1:20" ht="15" customHeight="1" x14ac:dyDescent="0.2">
      <c r="A37" s="29" t="s">
        <v>303</v>
      </c>
      <c r="B37" s="30">
        <v>0</v>
      </c>
      <c r="C37" s="30">
        <v>49908</v>
      </c>
      <c r="D37" s="30">
        <v>38129</v>
      </c>
      <c r="E37" s="30">
        <v>122942</v>
      </c>
      <c r="F37" s="30">
        <v>85153</v>
      </c>
      <c r="G37" s="30">
        <v>262788</v>
      </c>
      <c r="H37" s="30">
        <v>159475</v>
      </c>
      <c r="I37" s="30">
        <v>249112</v>
      </c>
      <c r="J37" s="30">
        <v>331819</v>
      </c>
      <c r="L37" s="10">
        <f t="shared" ref="L37:T37" si="31">IFERROR(B37/B22,"")</f>
        <v>0</v>
      </c>
      <c r="M37" s="10">
        <f t="shared" si="31"/>
        <v>1.2480080707922751E-3</v>
      </c>
      <c r="N37" s="10">
        <f t="shared" si="31"/>
        <v>1.2480064268288683E-3</v>
      </c>
      <c r="O37" s="10">
        <f t="shared" si="31"/>
        <v>4.5405297922455189E-3</v>
      </c>
      <c r="P37" s="10">
        <f t="shared" si="31"/>
        <v>4.5405612469205658E-3</v>
      </c>
      <c r="Q37" s="10">
        <f t="shared" si="31"/>
        <v>2.2250246093201628E-2</v>
      </c>
      <c r="R37" s="10">
        <f t="shared" si="31"/>
        <v>2.4848238381043199E-2</v>
      </c>
      <c r="S37" s="10">
        <f t="shared" si="31"/>
        <v>7.8215135579453296E-2</v>
      </c>
      <c r="T37" s="10">
        <f t="shared" si="31"/>
        <v>0.19695888674147272</v>
      </c>
    </row>
    <row r="38" spans="1:20" ht="15" customHeight="1" x14ac:dyDescent="0.2">
      <c r="A38" s="29" t="s">
        <v>304</v>
      </c>
      <c r="B38" s="30">
        <v>87274</v>
      </c>
      <c r="C38" s="30">
        <v>64494</v>
      </c>
      <c r="D38" s="30">
        <v>49273</v>
      </c>
      <c r="E38" s="30">
        <v>41364</v>
      </c>
      <c r="F38" s="30">
        <v>28650</v>
      </c>
      <c r="G38" s="30">
        <v>33123</v>
      </c>
      <c r="H38" s="30">
        <v>20101</v>
      </c>
      <c r="I38" s="30">
        <v>9690</v>
      </c>
      <c r="J38" s="30">
        <v>7441</v>
      </c>
      <c r="L38" s="10">
        <f t="shared" ref="L38:T38" si="32">IFERROR(B38/B22,"")</f>
        <v>1.7219094020822804E-3</v>
      </c>
      <c r="M38" s="10">
        <f t="shared" si="32"/>
        <v>1.6127481068701809E-3</v>
      </c>
      <c r="N38" s="10">
        <f t="shared" si="32"/>
        <v>1.6127624818153853E-3</v>
      </c>
      <c r="O38" s="10">
        <f t="shared" si="32"/>
        <v>1.5276673091900541E-3</v>
      </c>
      <c r="P38" s="10">
        <f t="shared" si="32"/>
        <v>1.527686396536519E-3</v>
      </c>
      <c r="Q38" s="10">
        <f t="shared" si="32"/>
        <v>2.8045226621653866E-3</v>
      </c>
      <c r="R38" s="10">
        <f t="shared" si="32"/>
        <v>3.1319920971772963E-3</v>
      </c>
      <c r="S38" s="10">
        <f t="shared" si="32"/>
        <v>3.0424253499024634E-3</v>
      </c>
      <c r="T38" s="10">
        <f t="shared" si="32"/>
        <v>4.4167786541557249E-3</v>
      </c>
    </row>
    <row r="39" spans="1:20" ht="15" customHeight="1" x14ac:dyDescent="0.2">
      <c r="A39" s="29" t="s">
        <v>305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622</v>
      </c>
      <c r="L39" s="10">
        <f t="shared" ref="L39:T39" si="33">IFERROR(B39/B22,"")</f>
        <v>0</v>
      </c>
      <c r="M39" s="10">
        <f t="shared" si="33"/>
        <v>0</v>
      </c>
      <c r="N39" s="10">
        <f t="shared" si="33"/>
        <v>0</v>
      </c>
      <c r="O39" s="10">
        <f t="shared" si="33"/>
        <v>0</v>
      </c>
      <c r="P39" s="10">
        <f t="shared" si="33"/>
        <v>0</v>
      </c>
      <c r="Q39" s="10">
        <f t="shared" si="33"/>
        <v>0</v>
      </c>
      <c r="R39" s="10">
        <f t="shared" si="33"/>
        <v>0</v>
      </c>
      <c r="S39" s="10">
        <f t="shared" si="33"/>
        <v>0</v>
      </c>
      <c r="T39" s="10">
        <f t="shared" si="33"/>
        <v>3.6920256993480189E-4</v>
      </c>
    </row>
    <row r="40" spans="1:20" ht="15" customHeight="1" x14ac:dyDescent="0.2">
      <c r="A40" s="31" t="s">
        <v>35</v>
      </c>
      <c r="B40" s="32">
        <f t="shared" ref="B40:J40" si="34">SUM(B37:B39)</f>
        <v>87274</v>
      </c>
      <c r="C40" s="32">
        <f t="shared" si="34"/>
        <v>114402</v>
      </c>
      <c r="D40" s="32">
        <f t="shared" si="34"/>
        <v>87402</v>
      </c>
      <c r="E40" s="32">
        <f t="shared" si="34"/>
        <v>164306</v>
      </c>
      <c r="F40" s="32">
        <f t="shared" si="34"/>
        <v>113803</v>
      </c>
      <c r="G40" s="32">
        <f t="shared" si="34"/>
        <v>295911</v>
      </c>
      <c r="H40" s="32">
        <f t="shared" si="34"/>
        <v>179576</v>
      </c>
      <c r="I40" s="32">
        <f t="shared" si="34"/>
        <v>258802</v>
      </c>
      <c r="J40" s="32">
        <f t="shared" si="34"/>
        <v>339882</v>
      </c>
      <c r="L40" s="12">
        <f t="shared" ref="L40:T40" si="35">IFERROR(B40/B22,"")</f>
        <v>1.7219094020822804E-3</v>
      </c>
      <c r="M40" s="12">
        <f t="shared" si="35"/>
        <v>2.8607561776624558E-3</v>
      </c>
      <c r="N40" s="12">
        <f t="shared" si="35"/>
        <v>2.8607689086442537E-3</v>
      </c>
      <c r="O40" s="12">
        <f t="shared" si="35"/>
        <v>6.0681971014355726E-3</v>
      </c>
      <c r="P40" s="12">
        <f t="shared" si="35"/>
        <v>6.0682476434570842E-3</v>
      </c>
      <c r="Q40" s="12">
        <f t="shared" si="35"/>
        <v>2.5054768755367017E-2</v>
      </c>
      <c r="R40" s="12">
        <f t="shared" si="35"/>
        <v>2.7980230478220493E-2</v>
      </c>
      <c r="S40" s="12">
        <f t="shared" si="35"/>
        <v>8.1257560929355765E-2</v>
      </c>
      <c r="T40" s="12">
        <f t="shared" si="35"/>
        <v>0.20174486796556326</v>
      </c>
    </row>
    <row r="41" spans="1:20" ht="15" customHeight="1" x14ac:dyDescent="0.2">
      <c r="A41" s="31" t="s">
        <v>36</v>
      </c>
      <c r="B41" s="32">
        <f t="shared" ref="B41:J41" si="36">B35+B40</f>
        <v>17404298</v>
      </c>
      <c r="C41" s="32">
        <f t="shared" si="36"/>
        <v>12732665</v>
      </c>
      <c r="D41" s="32">
        <f t="shared" si="36"/>
        <v>9727587</v>
      </c>
      <c r="E41" s="32">
        <f t="shared" si="36"/>
        <v>9406325</v>
      </c>
      <c r="F41" s="32">
        <f t="shared" si="36"/>
        <v>6515034</v>
      </c>
      <c r="G41" s="32">
        <f t="shared" si="36"/>
        <v>5125538</v>
      </c>
      <c r="H41" s="32">
        <f t="shared" si="36"/>
        <v>3107092</v>
      </c>
      <c r="I41" s="32">
        <f t="shared" si="36"/>
        <v>2086385</v>
      </c>
      <c r="J41" s="32">
        <f t="shared" si="36"/>
        <v>1112322</v>
      </c>
      <c r="L41" s="12">
        <f t="shared" ref="L41:T41" si="37">IFERROR(B41/B22,"")</f>
        <v>0.34338547978598238</v>
      </c>
      <c r="M41" s="12">
        <f t="shared" si="37"/>
        <v>0.31839522086026933</v>
      </c>
      <c r="N41" s="12">
        <f t="shared" si="37"/>
        <v>0.31839521344742716</v>
      </c>
      <c r="O41" s="12">
        <f t="shared" si="37"/>
        <v>0.34739713765876451</v>
      </c>
      <c r="P41" s="12">
        <f t="shared" si="37"/>
        <v>0.34739716630969997</v>
      </c>
      <c r="Q41" s="12">
        <f t="shared" si="37"/>
        <v>0.43397903199558768</v>
      </c>
      <c r="R41" s="12">
        <f t="shared" si="37"/>
        <v>0.48412455048021491</v>
      </c>
      <c r="S41" s="12">
        <f t="shared" si="37"/>
        <v>0.65507436673439123</v>
      </c>
      <c r="T41" s="12">
        <f t="shared" si="37"/>
        <v>0.66024459967044813</v>
      </c>
    </row>
    <row r="42" spans="1:20" ht="15.75" customHeight="1" x14ac:dyDescent="0.2">
      <c r="A42" s="26" t="s">
        <v>306</v>
      </c>
      <c r="B42" s="28"/>
      <c r="C42" s="28"/>
      <c r="D42" s="28"/>
      <c r="E42" s="28"/>
      <c r="F42" s="28"/>
      <c r="G42" s="28"/>
      <c r="H42" s="28"/>
      <c r="I42" s="28"/>
      <c r="J42" s="28"/>
    </row>
    <row r="43" spans="1:20" ht="15" customHeight="1" x14ac:dyDescent="0.2">
      <c r="A43" s="29" t="s">
        <v>38</v>
      </c>
      <c r="B43" s="30">
        <v>998000</v>
      </c>
      <c r="C43" s="30">
        <v>998000</v>
      </c>
      <c r="D43" s="30">
        <v>998000</v>
      </c>
      <c r="E43" s="30">
        <v>998000</v>
      </c>
      <c r="F43" s="30">
        <v>998000</v>
      </c>
      <c r="G43" s="30">
        <v>850000</v>
      </c>
      <c r="H43" s="30">
        <v>850000</v>
      </c>
      <c r="I43" s="30">
        <v>850000</v>
      </c>
      <c r="J43" s="30">
        <v>192622</v>
      </c>
      <c r="L43" s="10">
        <f t="shared" ref="L43:T43" si="38">IFERROR(B43/B22,"")</f>
        <v>1.9690464322457042E-2</v>
      </c>
      <c r="M43" s="10">
        <f t="shared" si="38"/>
        <v>2.4956160428201701E-2</v>
      </c>
      <c r="N43" s="10">
        <f t="shared" si="38"/>
        <v>3.2665698391649678E-2</v>
      </c>
      <c r="O43" s="10">
        <f t="shared" si="38"/>
        <v>3.6858427003473408E-2</v>
      </c>
      <c r="P43" s="10">
        <f t="shared" si="38"/>
        <v>5.3215742539038255E-2</v>
      </c>
      <c r="Q43" s="10">
        <f t="shared" si="38"/>
        <v>7.196945514719616E-2</v>
      </c>
      <c r="R43" s="10">
        <f t="shared" si="38"/>
        <v>0.13244083789864691</v>
      </c>
      <c r="S43" s="10">
        <f t="shared" si="38"/>
        <v>0.26687941665811082</v>
      </c>
      <c r="T43" s="10">
        <f t="shared" si="38"/>
        <v>0.11433526917360357</v>
      </c>
    </row>
    <row r="44" spans="1:20" ht="15" customHeight="1" x14ac:dyDescent="0.2">
      <c r="A44" s="29" t="s">
        <v>307</v>
      </c>
      <c r="B44" s="30">
        <v>2871730</v>
      </c>
      <c r="C44" s="30">
        <v>2871730</v>
      </c>
      <c r="D44" s="30">
        <v>1958422</v>
      </c>
      <c r="E44" s="30">
        <v>1958422</v>
      </c>
      <c r="F44" s="30">
        <v>1049685</v>
      </c>
      <c r="G44" s="30">
        <v>953806</v>
      </c>
      <c r="H44" s="30">
        <v>0</v>
      </c>
      <c r="I44" s="30">
        <v>0</v>
      </c>
      <c r="J44" s="30">
        <v>0</v>
      </c>
      <c r="L44" s="10">
        <f t="shared" ref="L44:T44" si="39">IFERROR(B44/B22,"")</f>
        <v>5.6659015139007576E-2</v>
      </c>
      <c r="M44" s="10">
        <f t="shared" si="39"/>
        <v>7.1810976539558785E-2</v>
      </c>
      <c r="N44" s="10">
        <f t="shared" si="39"/>
        <v>6.4101425226023398E-2</v>
      </c>
      <c r="O44" s="10">
        <f t="shared" si="39"/>
        <v>7.23290123537038E-2</v>
      </c>
      <c r="P44" s="10">
        <f t="shared" si="39"/>
        <v>5.5971710127345059E-2</v>
      </c>
      <c r="Q44" s="10">
        <f t="shared" si="39"/>
        <v>8.0758703689560687E-2</v>
      </c>
      <c r="R44" s="10">
        <f t="shared" si="39"/>
        <v>0</v>
      </c>
      <c r="S44" s="10">
        <f t="shared" si="39"/>
        <v>0</v>
      </c>
      <c r="T44" s="10">
        <f t="shared" si="39"/>
        <v>0</v>
      </c>
    </row>
    <row r="45" spans="1:20" ht="15" customHeight="1" x14ac:dyDescent="0.2">
      <c r="A45" s="29" t="s">
        <v>308</v>
      </c>
      <c r="B45" s="30">
        <v>3072499</v>
      </c>
      <c r="C45" s="30">
        <v>3072499</v>
      </c>
      <c r="D45" s="30">
        <v>2347348</v>
      </c>
      <c r="E45" s="30">
        <v>2347348</v>
      </c>
      <c r="F45" s="30">
        <v>1625826</v>
      </c>
      <c r="G45" s="30">
        <v>0</v>
      </c>
      <c r="H45" s="30">
        <v>0</v>
      </c>
      <c r="I45" s="30">
        <v>0</v>
      </c>
      <c r="J45" s="30">
        <v>0</v>
      </c>
      <c r="L45" s="10">
        <f t="shared" ref="L45:T45" si="40">IFERROR(B45/B22,"")</f>
        <v>6.0620172284854647E-2</v>
      </c>
      <c r="M45" s="10">
        <f t="shared" si="40"/>
        <v>7.6831440841171647E-2</v>
      </c>
      <c r="N45" s="10">
        <f t="shared" si="40"/>
        <v>7.6831424637517118E-2</v>
      </c>
      <c r="O45" s="10">
        <f t="shared" si="40"/>
        <v>8.6692940791331968E-2</v>
      </c>
      <c r="P45" s="10">
        <f t="shared" si="40"/>
        <v>8.6692923676627662E-2</v>
      </c>
      <c r="Q45" s="10">
        <f t="shared" si="40"/>
        <v>0</v>
      </c>
      <c r="R45" s="10">
        <f t="shared" si="40"/>
        <v>0</v>
      </c>
      <c r="S45" s="10">
        <f t="shared" si="40"/>
        <v>0</v>
      </c>
      <c r="T45" s="10">
        <f t="shared" si="40"/>
        <v>0</v>
      </c>
    </row>
    <row r="46" spans="1:20" ht="15" customHeight="1" x14ac:dyDescent="0.2">
      <c r="A46" s="29" t="s">
        <v>309</v>
      </c>
      <c r="B46" s="30">
        <v>1095709</v>
      </c>
      <c r="C46" s="30">
        <v>1095709</v>
      </c>
      <c r="D46" s="30">
        <v>837107</v>
      </c>
      <c r="E46" s="30">
        <v>457263</v>
      </c>
      <c r="F46" s="30">
        <v>365396</v>
      </c>
      <c r="G46" s="30">
        <v>152450</v>
      </c>
      <c r="H46" s="30">
        <v>52168</v>
      </c>
      <c r="I46" s="30">
        <v>27187</v>
      </c>
      <c r="J46" s="30">
        <v>12776</v>
      </c>
      <c r="L46" s="10">
        <f t="shared" ref="L46:T46" si="41">IFERROR(B46/B22,"")</f>
        <v>2.1618255483261607E-2</v>
      </c>
      <c r="M46" s="10">
        <f t="shared" si="41"/>
        <v>2.7399488563751961E-2</v>
      </c>
      <c r="N46" s="10">
        <f t="shared" si="41"/>
        <v>2.739948375104077E-2</v>
      </c>
      <c r="O46" s="10">
        <f t="shared" si="41"/>
        <v>1.688777044778483E-2</v>
      </c>
      <c r="P46" s="10">
        <f t="shared" si="41"/>
        <v>1.9483787034864149E-2</v>
      </c>
      <c r="Q46" s="10">
        <f t="shared" si="41"/>
        <v>1.2907933455517712E-2</v>
      </c>
      <c r="R46" s="10">
        <f t="shared" si="41"/>
        <v>8.1284395664666022E-3</v>
      </c>
      <c r="S46" s="10">
        <f t="shared" si="41"/>
        <v>8.5360596478635982E-3</v>
      </c>
      <c r="T46" s="10">
        <f t="shared" si="41"/>
        <v>7.5834920152524589E-3</v>
      </c>
    </row>
    <row r="47" spans="1:20" ht="15" customHeight="1" x14ac:dyDescent="0.2">
      <c r="A47" s="29" t="s">
        <v>310</v>
      </c>
      <c r="B47" s="30">
        <v>966941</v>
      </c>
      <c r="C47" s="30">
        <v>987914</v>
      </c>
      <c r="D47" s="30">
        <v>754753</v>
      </c>
      <c r="E47" s="30">
        <v>767969</v>
      </c>
      <c r="F47" s="30">
        <v>531913</v>
      </c>
      <c r="G47" s="30">
        <v>673011</v>
      </c>
      <c r="H47" s="30">
        <v>409736</v>
      </c>
      <c r="I47" s="30">
        <v>24454</v>
      </c>
      <c r="J47" s="30">
        <v>987</v>
      </c>
      <c r="L47" s="10">
        <f t="shared" ref="L47:T47" si="42">IFERROR(B47/B22,"")</f>
        <v>1.9077672607636206E-2</v>
      </c>
      <c r="M47" s="10">
        <f t="shared" si="42"/>
        <v>2.4703948169605666E-2</v>
      </c>
      <c r="N47" s="10">
        <f t="shared" si="42"/>
        <v>2.4703941741676123E-2</v>
      </c>
      <c r="O47" s="10">
        <f t="shared" si="42"/>
        <v>2.8362855037505481E-2</v>
      </c>
      <c r="P47" s="10">
        <f t="shared" si="42"/>
        <v>2.8362871003173803E-2</v>
      </c>
      <c r="Q47" s="10">
        <f t="shared" si="42"/>
        <v>5.6983805856552515E-2</v>
      </c>
      <c r="R47" s="10">
        <f t="shared" si="42"/>
        <v>6.3842093126164706E-2</v>
      </c>
      <c r="S47" s="10">
        <f t="shared" si="42"/>
        <v>7.6779638293616968E-3</v>
      </c>
      <c r="T47" s="10">
        <f t="shared" si="42"/>
        <v>5.8585681113448472E-4</v>
      </c>
    </row>
    <row r="48" spans="1:20" ht="15" customHeight="1" x14ac:dyDescent="0.2">
      <c r="A48" s="29" t="s">
        <v>311</v>
      </c>
      <c r="B48" s="30">
        <v>16606345</v>
      </c>
      <c r="C48" s="30">
        <v>11654428</v>
      </c>
      <c r="D48" s="30">
        <v>8903828</v>
      </c>
      <c r="E48" s="30">
        <v>4502239</v>
      </c>
      <c r="F48" s="30">
        <v>3069667</v>
      </c>
      <c r="G48" s="30">
        <v>2015270</v>
      </c>
      <c r="H48" s="30">
        <v>171953</v>
      </c>
      <c r="I48" s="30">
        <v>-320747</v>
      </c>
      <c r="J48" s="30">
        <v>134583</v>
      </c>
      <c r="L48" s="10">
        <f t="shared" ref="L48:T48" si="43">IFERROR(B48/B22,"")</f>
        <v>0.32764192760412114</v>
      </c>
      <c r="M48" s="10">
        <f t="shared" si="43"/>
        <v>0.29143264014722037</v>
      </c>
      <c r="N48" s="10">
        <f t="shared" si="43"/>
        <v>0.29143262522958452</v>
      </c>
      <c r="O48" s="10">
        <f t="shared" si="43"/>
        <v>0.16627800354077266</v>
      </c>
      <c r="P48" s="10">
        <f t="shared" si="43"/>
        <v>0.16368197269797788</v>
      </c>
      <c r="Q48" s="10">
        <f t="shared" si="43"/>
        <v>0.17063280455822355</v>
      </c>
      <c r="R48" s="10">
        <f t="shared" si="43"/>
        <v>2.6792469881395335E-2</v>
      </c>
      <c r="S48" s="10">
        <f t="shared" si="43"/>
        <v>-0.10070679088804597</v>
      </c>
      <c r="T48" s="10">
        <f t="shared" si="43"/>
        <v>7.9884870529799756E-2</v>
      </c>
    </row>
    <row r="49" spans="1:20" ht="15" customHeight="1" x14ac:dyDescent="0.2">
      <c r="A49" s="29" t="s">
        <v>312</v>
      </c>
      <c r="B49" s="30">
        <v>7668909</v>
      </c>
      <c r="C49" s="30">
        <v>6577183</v>
      </c>
      <c r="D49" s="30">
        <v>5024880</v>
      </c>
      <c r="E49" s="30">
        <v>6639008</v>
      </c>
      <c r="F49" s="30">
        <v>4598327</v>
      </c>
      <c r="G49" s="30">
        <v>2040490</v>
      </c>
      <c r="H49" s="30">
        <v>1827009</v>
      </c>
      <c r="I49" s="30">
        <v>517681</v>
      </c>
      <c r="J49" s="30">
        <v>231423</v>
      </c>
      <c r="L49" s="10">
        <f t="shared" ref="L49:T49" si="44">IFERROR(B49/B22,"")</f>
        <v>0.15130699304275522</v>
      </c>
      <c r="M49" s="10">
        <f t="shared" si="44"/>
        <v>0.16447017446256609</v>
      </c>
      <c r="N49" s="10">
        <f t="shared" si="44"/>
        <v>0.16447015484392047</v>
      </c>
      <c r="O49" s="10">
        <f t="shared" si="44"/>
        <v>0.24519377930208014</v>
      </c>
      <c r="P49" s="10">
        <f t="shared" si="44"/>
        <v>0.24519377328888592</v>
      </c>
      <c r="Q49" s="10">
        <f t="shared" si="44"/>
        <v>0.17276818062741447</v>
      </c>
      <c r="R49" s="10">
        <f t="shared" si="44"/>
        <v>0.28467129742161063</v>
      </c>
      <c r="S49" s="10">
        <f t="shared" si="44"/>
        <v>0.16253929799410291</v>
      </c>
      <c r="T49" s="10">
        <f t="shared" si="44"/>
        <v>0.13736650537302519</v>
      </c>
    </row>
    <row r="50" spans="1:20" ht="15" customHeight="1" x14ac:dyDescent="0.2">
      <c r="A50" s="31" t="s">
        <v>42</v>
      </c>
      <c r="B50" s="32">
        <f t="shared" ref="B50:J50" si="45">SUM(B43:B49)</f>
        <v>33280133</v>
      </c>
      <c r="C50" s="32">
        <f t="shared" si="45"/>
        <v>27257463</v>
      </c>
      <c r="D50" s="32">
        <f t="shared" si="45"/>
        <v>20824338</v>
      </c>
      <c r="E50" s="32">
        <f t="shared" si="45"/>
        <v>17670249</v>
      </c>
      <c r="F50" s="32">
        <f t="shared" si="45"/>
        <v>12238814</v>
      </c>
      <c r="G50" s="32">
        <f t="shared" si="45"/>
        <v>6685027</v>
      </c>
      <c r="H50" s="32">
        <f t="shared" si="45"/>
        <v>3310866</v>
      </c>
      <c r="I50" s="32">
        <f t="shared" si="45"/>
        <v>1098575</v>
      </c>
      <c r="J50" s="32">
        <f t="shared" si="45"/>
        <v>572391</v>
      </c>
      <c r="L50" s="12">
        <f t="shared" ref="L50:T50" si="46">IFERROR(B50/B22,"")</f>
        <v>0.65661450048409342</v>
      </c>
      <c r="M50" s="12">
        <f t="shared" si="46"/>
        <v>0.68160482915207621</v>
      </c>
      <c r="N50" s="12">
        <f t="shared" si="46"/>
        <v>0.68160475382141206</v>
      </c>
      <c r="O50" s="12">
        <f t="shared" si="46"/>
        <v>0.65260278847665232</v>
      </c>
      <c r="P50" s="12">
        <f t="shared" si="46"/>
        <v>0.65260278036791275</v>
      </c>
      <c r="Q50" s="12">
        <f t="shared" si="46"/>
        <v>0.5660208833344651</v>
      </c>
      <c r="R50" s="12">
        <f t="shared" si="46"/>
        <v>0.51587513789428419</v>
      </c>
      <c r="S50" s="12">
        <f t="shared" si="46"/>
        <v>0.34492594724139308</v>
      </c>
      <c r="T50" s="12">
        <f t="shared" si="46"/>
        <v>0.33975599390281541</v>
      </c>
    </row>
    <row r="51" spans="1:20" ht="15" customHeight="1" x14ac:dyDescent="0.2">
      <c r="A51" s="31" t="s">
        <v>313</v>
      </c>
      <c r="B51" s="32">
        <f t="shared" ref="B51:J51" si="47">B41+B50</f>
        <v>50684431</v>
      </c>
      <c r="C51" s="32">
        <f t="shared" si="47"/>
        <v>39990128</v>
      </c>
      <c r="D51" s="32">
        <f t="shared" si="47"/>
        <v>30551925</v>
      </c>
      <c r="E51" s="32">
        <f t="shared" si="47"/>
        <v>27076574</v>
      </c>
      <c r="F51" s="32">
        <f t="shared" si="47"/>
        <v>18753848</v>
      </c>
      <c r="G51" s="32">
        <f t="shared" si="47"/>
        <v>11810565</v>
      </c>
      <c r="H51" s="32">
        <f t="shared" si="47"/>
        <v>6417958</v>
      </c>
      <c r="I51" s="32">
        <f t="shared" si="47"/>
        <v>3184960</v>
      </c>
      <c r="J51" s="32">
        <f t="shared" si="47"/>
        <v>1684713</v>
      </c>
      <c r="L51" s="12">
        <f t="shared" ref="L51:T51" si="48">IFERROR(B51/B22,"")</f>
        <v>0.99999998027007586</v>
      </c>
      <c r="M51" s="12">
        <f t="shared" si="48"/>
        <v>1.0000000500123456</v>
      </c>
      <c r="N51" s="12">
        <f t="shared" si="48"/>
        <v>0.99999996726883933</v>
      </c>
      <c r="O51" s="12">
        <f t="shared" si="48"/>
        <v>0.99999992613541677</v>
      </c>
      <c r="P51" s="12">
        <f t="shared" si="48"/>
        <v>0.99999994667761272</v>
      </c>
      <c r="Q51" s="12">
        <f t="shared" si="48"/>
        <v>0.99999991533005272</v>
      </c>
      <c r="R51" s="12">
        <f t="shared" si="48"/>
        <v>0.99999968837449904</v>
      </c>
      <c r="S51" s="12">
        <f t="shared" si="48"/>
        <v>1.0000003139757843</v>
      </c>
      <c r="T51" s="12">
        <f t="shared" si="48"/>
        <v>1.0000005935732637</v>
      </c>
    </row>
    <row r="52" spans="1:20" ht="15" customHeight="1" x14ac:dyDescent="0.2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3" spans="1:20" ht="15" customHeight="1" x14ac:dyDescent="0.2">
      <c r="A53" s="33"/>
      <c r="B53" s="34"/>
      <c r="C53" s="34"/>
      <c r="D53" s="34"/>
      <c r="E53" s="34"/>
      <c r="F53" s="34"/>
      <c r="G53" s="34"/>
      <c r="H53" s="34"/>
      <c r="I53" s="34"/>
      <c r="J53" s="34"/>
    </row>
    <row r="56" spans="1:20" ht="21.75" customHeight="1" x14ac:dyDescent="0.2">
      <c r="L56" s="254" t="s">
        <v>314</v>
      </c>
      <c r="M56" s="254"/>
      <c r="N56" s="254"/>
      <c r="O56" s="254"/>
      <c r="P56" s="254"/>
      <c r="Q56" s="254"/>
      <c r="R56" s="254"/>
      <c r="S56" s="254"/>
      <c r="T56" s="254"/>
    </row>
    <row r="57" spans="1:20" ht="15" customHeight="1" x14ac:dyDescent="0.2">
      <c r="L57" s="2" t="s">
        <v>315</v>
      </c>
      <c r="M57" s="2" t="s">
        <v>316</v>
      </c>
      <c r="N57" s="2" t="s">
        <v>317</v>
      </c>
      <c r="O57" s="2" t="s">
        <v>318</v>
      </c>
      <c r="P57" s="2" t="s">
        <v>319</v>
      </c>
    </row>
    <row r="58" spans="1:20" ht="15" customHeight="1" x14ac:dyDescent="0.2">
      <c r="K58" s="8" t="s">
        <v>14</v>
      </c>
      <c r="L58" s="10">
        <f t="shared" ref="L58:L66" si="49">IFERROR((B5-C5)/ABS(C5),"-")</f>
        <v>-0.7912232484366214</v>
      </c>
      <c r="M58" s="10">
        <f t="shared" ref="M58:M66" si="50">IFERROR((D5-E5)/ABS(E5),"-")</f>
        <v>0.92179765160362881</v>
      </c>
      <c r="N58" s="10">
        <f t="shared" ref="N58:N66" si="51">IFERROR((F5-G5)/ABS(G5),"-")</f>
        <v>6.1350262503922712</v>
      </c>
      <c r="O58" s="10">
        <f t="shared" ref="O58:O66" si="52">IFERROR((H5-I5)/ABS(I5),"-")</f>
        <v>-0.51176065180009278</v>
      </c>
      <c r="P58" s="10">
        <f t="shared" ref="P58:P66" si="53">IFERROR((I5-J5)/ABS(J5),"-")</f>
        <v>0.30440548827977232</v>
      </c>
    </row>
    <row r="59" spans="1:20" ht="15" customHeight="1" x14ac:dyDescent="0.2">
      <c r="K59" s="8" t="s">
        <v>278</v>
      </c>
      <c r="L59" s="10">
        <f t="shared" si="49"/>
        <v>1.6458289298037458</v>
      </c>
      <c r="M59" s="10">
        <f t="shared" si="50"/>
        <v>0.60947651947095827</v>
      </c>
      <c r="N59" s="10">
        <f t="shared" si="51"/>
        <v>1.2838274352164238</v>
      </c>
      <c r="O59" s="10">
        <f t="shared" si="52"/>
        <v>328.48007085916743</v>
      </c>
      <c r="P59" s="10" t="str">
        <f t="shared" si="53"/>
        <v>-</v>
      </c>
    </row>
    <row r="60" spans="1:20" ht="15" customHeight="1" x14ac:dyDescent="0.2">
      <c r="K60" s="8" t="s">
        <v>279</v>
      </c>
      <c r="L60" s="10">
        <f t="shared" si="49"/>
        <v>5.6104984369572772</v>
      </c>
      <c r="M60" s="10">
        <f t="shared" si="50"/>
        <v>-0.95678399858533658</v>
      </c>
      <c r="N60" s="10">
        <f t="shared" si="51"/>
        <v>5.1038699623392922</v>
      </c>
      <c r="O60" s="10">
        <f t="shared" si="52"/>
        <v>-0.63524009002562865</v>
      </c>
      <c r="P60" s="10">
        <f t="shared" si="53"/>
        <v>0.30917668699117756</v>
      </c>
    </row>
    <row r="61" spans="1:20" ht="15" customHeight="1" x14ac:dyDescent="0.2">
      <c r="K61" s="8" t="s">
        <v>280</v>
      </c>
      <c r="L61" s="10">
        <f t="shared" si="49"/>
        <v>0.35845583630592232</v>
      </c>
      <c r="M61" s="10">
        <f t="shared" si="50"/>
        <v>-0.19943226121724442</v>
      </c>
      <c r="N61" s="10">
        <f t="shared" si="51"/>
        <v>0.34379448683344416</v>
      </c>
      <c r="O61" s="10">
        <f t="shared" si="52"/>
        <v>0.94840025825084717</v>
      </c>
      <c r="P61" s="10">
        <f t="shared" si="53"/>
        <v>2.5265215610618323</v>
      </c>
    </row>
    <row r="62" spans="1:20" ht="15" customHeight="1" x14ac:dyDescent="0.2">
      <c r="K62" s="8" t="s">
        <v>281</v>
      </c>
      <c r="L62" s="10">
        <f t="shared" si="49"/>
        <v>0.46843843024087145</v>
      </c>
      <c r="M62" s="10">
        <f t="shared" si="50"/>
        <v>1.0988768659381474</v>
      </c>
      <c r="N62" s="10">
        <f t="shared" si="51"/>
        <v>-0.68414367025218026</v>
      </c>
      <c r="O62" s="10">
        <f t="shared" si="52"/>
        <v>0.49344234372338613</v>
      </c>
      <c r="P62" s="10">
        <f t="shared" si="53"/>
        <v>0.64708891676018221</v>
      </c>
    </row>
    <row r="63" spans="1:20" ht="15" customHeight="1" x14ac:dyDescent="0.2">
      <c r="K63" s="8" t="s">
        <v>17</v>
      </c>
      <c r="L63" s="10">
        <f t="shared" si="49"/>
        <v>1.0807529964857745</v>
      </c>
      <c r="M63" s="10">
        <f t="shared" si="50"/>
        <v>0.31115195562045078</v>
      </c>
      <c r="N63" s="10">
        <f t="shared" si="51"/>
        <v>-0.28973660479446905</v>
      </c>
      <c r="O63" s="10">
        <f t="shared" si="52"/>
        <v>1.1779359753168333</v>
      </c>
      <c r="P63" s="10">
        <f t="shared" si="53"/>
        <v>0.6010837764413588</v>
      </c>
    </row>
    <row r="64" spans="1:20" ht="15" customHeight="1" x14ac:dyDescent="0.2">
      <c r="K64" s="8" t="s">
        <v>282</v>
      </c>
      <c r="L64" s="10">
        <f t="shared" si="49"/>
        <v>-0.29801203071540899</v>
      </c>
      <c r="M64" s="10">
        <f t="shared" si="50"/>
        <v>2.3904305337356484E-3</v>
      </c>
      <c r="N64" s="10">
        <f t="shared" si="51"/>
        <v>1.3050015586345036</v>
      </c>
      <c r="O64" s="10">
        <f t="shared" si="52"/>
        <v>2.5223751995902752</v>
      </c>
      <c r="P64" s="10">
        <f t="shared" si="53"/>
        <v>1.0113312731018602</v>
      </c>
    </row>
    <row r="65" spans="11:16" ht="15" customHeight="1" x14ac:dyDescent="0.2">
      <c r="K65" s="8" t="s">
        <v>283</v>
      </c>
      <c r="L65" s="10">
        <f t="shared" si="49"/>
        <v>-0.24320363103399367</v>
      </c>
      <c r="M65" s="10">
        <f t="shared" si="50"/>
        <v>31.545820745216517</v>
      </c>
      <c r="N65" s="10">
        <f t="shared" si="51"/>
        <v>-0.38351254480286739</v>
      </c>
      <c r="O65" s="10">
        <f t="shared" si="52"/>
        <v>-0.57608015028177828</v>
      </c>
      <c r="P65" s="10">
        <f t="shared" si="53"/>
        <v>2.6628440366972477</v>
      </c>
    </row>
    <row r="66" spans="11:16" ht="15" customHeight="1" x14ac:dyDescent="0.2">
      <c r="K66" s="6" t="s">
        <v>19</v>
      </c>
      <c r="L66" s="12">
        <f t="shared" si="49"/>
        <v>0.29575928943764657</v>
      </c>
      <c r="M66" s="12">
        <f t="shared" si="50"/>
        <v>0.12209632307597885</v>
      </c>
      <c r="N66" s="12">
        <f t="shared" si="51"/>
        <v>0.52836202381171538</v>
      </c>
      <c r="O66" s="12">
        <f t="shared" si="52"/>
        <v>1.0124634988957129</v>
      </c>
      <c r="P66" s="12">
        <f t="shared" si="53"/>
        <v>1.1869771911369074</v>
      </c>
    </row>
    <row r="67" spans="11:16" ht="15" customHeight="1" x14ac:dyDescent="0.2">
      <c r="K67" s="8" t="s">
        <v>285</v>
      </c>
      <c r="L67" s="10">
        <f t="shared" ref="L67:L74" si="54">IFERROR((B15-C15)/ABS(C15),"-")</f>
        <v>1.8252442483454145</v>
      </c>
      <c r="M67" s="10">
        <f t="shared" ref="M67:M74" si="55">IFERROR((D15-E15)/ABS(E15),"-")</f>
        <v>8.117148591392255E-2</v>
      </c>
      <c r="N67" s="10">
        <f t="shared" ref="N67:N74" si="56">IFERROR((F15-G15)/ABS(G15),"-")</f>
        <v>-0.34458746571006543</v>
      </c>
      <c r="O67" s="10">
        <f t="shared" ref="O67:P74" si="57">IFERROR((H15-I15)/ABS(I15),"-")</f>
        <v>2.046126552335896E-2</v>
      </c>
      <c r="P67" s="10">
        <f t="shared" si="57"/>
        <v>7.2892156862745097</v>
      </c>
    </row>
    <row r="68" spans="11:16" ht="15" customHeight="1" x14ac:dyDescent="0.2">
      <c r="K68" s="8" t="s">
        <v>286</v>
      </c>
      <c r="L68" s="10">
        <f t="shared" si="54"/>
        <v>0.61957765551431532</v>
      </c>
      <c r="M68" s="10">
        <f t="shared" si="55"/>
        <v>1.4919308696372902</v>
      </c>
      <c r="N68" s="10">
        <f t="shared" si="56"/>
        <v>3.5776360198618153</v>
      </c>
      <c r="O68" s="10" t="str">
        <f t="shared" si="57"/>
        <v>-</v>
      </c>
      <c r="P68" s="10">
        <f t="shared" si="57"/>
        <v>-1</v>
      </c>
    </row>
    <row r="69" spans="11:16" ht="15" customHeight="1" x14ac:dyDescent="0.2">
      <c r="K69" s="8" t="s">
        <v>21</v>
      </c>
      <c r="L69" s="10">
        <f t="shared" si="54"/>
        <v>0.34659993120973387</v>
      </c>
      <c r="M69" s="10">
        <f t="shared" si="55"/>
        <v>0.33218695065734793</v>
      </c>
      <c r="N69" s="10">
        <f t="shared" si="56"/>
        <v>0.32137556431193753</v>
      </c>
      <c r="O69" s="10">
        <f t="shared" si="57"/>
        <v>0.69920422979374386</v>
      </c>
      <c r="P69" s="10">
        <f t="shared" si="57"/>
        <v>0.17274133426858934</v>
      </c>
    </row>
    <row r="70" spans="11:16" ht="15" customHeight="1" x14ac:dyDescent="0.2">
      <c r="K70" s="8" t="s">
        <v>287</v>
      </c>
      <c r="L70" s="10">
        <f t="shared" si="54"/>
        <v>-0.3882947580478654</v>
      </c>
      <c r="M70" s="10">
        <f t="shared" si="55"/>
        <v>9.2429531984618452E-2</v>
      </c>
      <c r="N70" s="10">
        <f t="shared" si="56"/>
        <v>1.4370444844709667</v>
      </c>
      <c r="O70" s="10">
        <f t="shared" si="57"/>
        <v>0.78832278218560803</v>
      </c>
      <c r="P70" s="10">
        <f t="shared" si="57"/>
        <v>0.38710790704808651</v>
      </c>
    </row>
    <row r="71" spans="11:16" ht="15" customHeight="1" x14ac:dyDescent="0.2">
      <c r="K71" s="8" t="s">
        <v>288</v>
      </c>
      <c r="L71" s="10">
        <f t="shared" si="54"/>
        <v>1.3748433446999504</v>
      </c>
      <c r="M71" s="10">
        <f t="shared" si="55"/>
        <v>-0.88981700794219576</v>
      </c>
      <c r="N71" s="10">
        <f t="shared" si="56"/>
        <v>9.4464220619700452</v>
      </c>
      <c r="O71" s="10">
        <f t="shared" si="57"/>
        <v>21.977777777777778</v>
      </c>
      <c r="P71" s="10">
        <f t="shared" si="57"/>
        <v>6.25E-2</v>
      </c>
    </row>
    <row r="72" spans="11:16" ht="15" customHeight="1" x14ac:dyDescent="0.2">
      <c r="K72" s="8" t="s">
        <v>289</v>
      </c>
      <c r="L72" s="10">
        <f t="shared" si="54"/>
        <v>2.6929622940303419E-2</v>
      </c>
      <c r="M72" s="10">
        <f t="shared" si="55"/>
        <v>-0.15997615908863172</v>
      </c>
      <c r="N72" s="10">
        <f t="shared" si="56"/>
        <v>0.40146089191295736</v>
      </c>
      <c r="O72" s="10">
        <f t="shared" si="57"/>
        <v>4.0183124659771368</v>
      </c>
      <c r="P72" s="10" t="str">
        <f t="shared" si="57"/>
        <v>-</v>
      </c>
    </row>
    <row r="73" spans="11:16" ht="15" customHeight="1" x14ac:dyDescent="0.2">
      <c r="K73" s="6" t="s">
        <v>24</v>
      </c>
      <c r="L73" s="12">
        <f t="shared" si="54"/>
        <v>0.20400781884670471</v>
      </c>
      <c r="M73" s="12">
        <f t="shared" si="55"/>
        <v>0.14261041272767633</v>
      </c>
      <c r="N73" s="12">
        <f t="shared" si="56"/>
        <v>0.74255349162143081</v>
      </c>
      <c r="O73" s="12">
        <f t="shared" si="57"/>
        <v>1.0246289693934367</v>
      </c>
      <c r="P73" s="12">
        <f t="shared" si="57"/>
        <v>0.2655962338079198</v>
      </c>
    </row>
    <row r="74" spans="11:16" ht="15" customHeight="1" x14ac:dyDescent="0.2">
      <c r="K74" s="6" t="s">
        <v>25</v>
      </c>
      <c r="L74" s="12">
        <f t="shared" si="54"/>
        <v>0.26742366353134273</v>
      </c>
      <c r="M74" s="12">
        <f t="shared" si="55"/>
        <v>0.12835263956565263</v>
      </c>
      <c r="N74" s="12">
        <f t="shared" si="56"/>
        <v>0.58788740522681127</v>
      </c>
      <c r="O74" s="12">
        <f t="shared" si="57"/>
        <v>1.0150840246295165</v>
      </c>
      <c r="P74" s="12">
        <f t="shared" si="57"/>
        <v>0.89050650793726172</v>
      </c>
    </row>
    <row r="75" spans="11:16" ht="15" customHeight="1" x14ac:dyDescent="0.2">
      <c r="K75" s="8" t="s">
        <v>292</v>
      </c>
      <c r="L75" s="10">
        <f>IFERROR((B25-C25)/ABS(C25),"-")</f>
        <v>0.94161478688164568</v>
      </c>
      <c r="M75" s="10">
        <f>IFERROR((D25-E25)/ABS(E25),"-")</f>
        <v>0.41858013148781792</v>
      </c>
      <c r="N75" s="10">
        <f>IFERROR((F25-G25)/ABS(G25),"-")</f>
        <v>-0.47685902575294004</v>
      </c>
      <c r="O75" s="10">
        <f t="shared" ref="O75:P77" si="58">IFERROR((H25-I25)/ABS(I25),"-")</f>
        <v>0.13040683002074946</v>
      </c>
      <c r="P75" s="10">
        <f t="shared" si="58"/>
        <v>1.2461347539956127</v>
      </c>
    </row>
    <row r="76" spans="11:16" ht="15" customHeight="1" x14ac:dyDescent="0.2">
      <c r="K76" s="8" t="s">
        <v>293</v>
      </c>
      <c r="L76" s="10">
        <f>IFERROR((B26-C26)/ABS(C26),"-")</f>
        <v>-0.5399241476135721</v>
      </c>
      <c r="M76" s="10">
        <f>IFERROR((D26-E26)/ABS(E26),"-")</f>
        <v>-0.55922723657541629</v>
      </c>
      <c r="N76" s="10">
        <f>IFERROR((F26-G26)/ABS(G26),"-")</f>
        <v>1.2830957230142567E-2</v>
      </c>
      <c r="O76" s="10">
        <f t="shared" si="58"/>
        <v>-9.6669193027244804E-2</v>
      </c>
      <c r="P76" s="10" t="str">
        <f t="shared" si="58"/>
        <v>-</v>
      </c>
    </row>
    <row r="77" spans="11:16" ht="15" customHeight="1" x14ac:dyDescent="0.2">
      <c r="K77" s="8" t="s">
        <v>294</v>
      </c>
      <c r="L77" s="10">
        <f>IFERROR((B27-C27)/ABS(C27),"-")</f>
        <v>0.48125098988001291</v>
      </c>
      <c r="M77" s="10">
        <f>IFERROR((D27-E27)/ABS(E27),"-")</f>
        <v>-0.31006972629398477</v>
      </c>
      <c r="N77" s="10">
        <f>IFERROR((F27-G27)/ABS(G27),"-")</f>
        <v>8.0008049383222424E-2</v>
      </c>
      <c r="O77" s="10">
        <f t="shared" si="58"/>
        <v>1.0312455086994481</v>
      </c>
      <c r="P77" s="10">
        <f t="shared" si="58"/>
        <v>0.75914612287408068</v>
      </c>
    </row>
    <row r="78" spans="11:16" ht="15" customHeight="1" x14ac:dyDescent="0.2">
      <c r="K78" s="8" t="s">
        <v>296</v>
      </c>
      <c r="L78" s="10" t="str">
        <f t="shared" ref="L78:L84" si="59">IFERROR((B29-C29)/ABS(C29),"-")</f>
        <v>-</v>
      </c>
      <c r="M78" s="10">
        <f t="shared" ref="M78:M84" si="60">IFERROR((D29-E29)/ABS(E29),"-")</f>
        <v>-1</v>
      </c>
      <c r="N78" s="10" t="str">
        <f t="shared" ref="N78:N84" si="61">IFERROR((F29-G29)/ABS(G29),"-")</f>
        <v>-</v>
      </c>
      <c r="O78" s="10">
        <f t="shared" ref="O78:P84" si="62">IFERROR((H29-I29)/ABS(I29),"-")</f>
        <v>-1</v>
      </c>
      <c r="P78" s="10">
        <f t="shared" si="62"/>
        <v>-0.84760635343774293</v>
      </c>
    </row>
    <row r="79" spans="11:16" ht="15" customHeight="1" x14ac:dyDescent="0.2">
      <c r="K79" s="8" t="s">
        <v>297</v>
      </c>
      <c r="L79" s="10">
        <f t="shared" si="59"/>
        <v>0.12620375607104581</v>
      </c>
      <c r="M79" s="10">
        <f t="shared" si="60"/>
        <v>0.155975957402264</v>
      </c>
      <c r="N79" s="10">
        <f t="shared" si="61"/>
        <v>2.2508715327939548</v>
      </c>
      <c r="O79" s="10">
        <f t="shared" si="62"/>
        <v>2.0564701226751088</v>
      </c>
      <c r="P79" s="10">
        <f t="shared" si="62"/>
        <v>1.5458712707947662</v>
      </c>
    </row>
    <row r="80" spans="11:16" ht="15" customHeight="1" x14ac:dyDescent="0.2">
      <c r="K80" s="8" t="s">
        <v>298</v>
      </c>
      <c r="L80" s="10" t="str">
        <f t="shared" si="59"/>
        <v>-</v>
      </c>
      <c r="M80" s="10" t="str">
        <f t="shared" si="60"/>
        <v>-</v>
      </c>
      <c r="N80" s="10">
        <f t="shared" si="61"/>
        <v>-1</v>
      </c>
      <c r="O80" s="10">
        <f t="shared" si="62"/>
        <v>0.93979542133463223</v>
      </c>
      <c r="P80" s="10" t="str">
        <f t="shared" si="62"/>
        <v>-</v>
      </c>
    </row>
    <row r="81" spans="11:16" ht="15" customHeight="1" x14ac:dyDescent="0.2">
      <c r="K81" s="8" t="s">
        <v>299</v>
      </c>
      <c r="L81" s="10">
        <f t="shared" si="59"/>
        <v>4.6934083627973378</v>
      </c>
      <c r="M81" s="10">
        <f t="shared" si="60"/>
        <v>1.3470168281489037</v>
      </c>
      <c r="N81" s="10">
        <f t="shared" si="61"/>
        <v>3.4661384931819916E-2</v>
      </c>
      <c r="O81" s="10">
        <f t="shared" si="62"/>
        <v>1.8</v>
      </c>
      <c r="P81" s="10">
        <f t="shared" si="62"/>
        <v>0.56490649064906495</v>
      </c>
    </row>
    <row r="82" spans="11:16" ht="15" customHeight="1" x14ac:dyDescent="0.2">
      <c r="K82" s="8" t="s">
        <v>300</v>
      </c>
      <c r="L82" s="10">
        <f t="shared" si="59"/>
        <v>5.0389183773733949E-2</v>
      </c>
      <c r="M82" s="10">
        <f t="shared" si="60"/>
        <v>-0.15786064514073794</v>
      </c>
      <c r="N82" s="10">
        <f t="shared" si="61"/>
        <v>0.3117643805587817</v>
      </c>
      <c r="O82" s="10">
        <f t="shared" si="62"/>
        <v>8.6585580539329445</v>
      </c>
      <c r="P82" s="10">
        <f t="shared" si="62"/>
        <v>3.7862887782458827</v>
      </c>
    </row>
    <row r="83" spans="11:16" ht="15" customHeight="1" x14ac:dyDescent="0.2">
      <c r="K83" s="8" t="s">
        <v>301</v>
      </c>
      <c r="L83" s="10" t="str">
        <f t="shared" si="59"/>
        <v>-</v>
      </c>
      <c r="M83" s="10" t="str">
        <f t="shared" si="60"/>
        <v>-</v>
      </c>
      <c r="N83" s="10" t="str">
        <f t="shared" si="61"/>
        <v>-</v>
      </c>
      <c r="O83" s="10">
        <f t="shared" si="62"/>
        <v>-1</v>
      </c>
      <c r="P83" s="10" t="str">
        <f t="shared" si="62"/>
        <v>-</v>
      </c>
    </row>
    <row r="84" spans="11:16" ht="15" customHeight="1" x14ac:dyDescent="0.2">
      <c r="K84" s="6" t="s">
        <v>31</v>
      </c>
      <c r="L84" s="12">
        <f t="shared" si="59"/>
        <v>0.37237779875090571</v>
      </c>
      <c r="M84" s="12">
        <f t="shared" si="60"/>
        <v>4.3082144713184424E-2</v>
      </c>
      <c r="N84" s="12">
        <f t="shared" si="61"/>
        <v>0.32540898085918435</v>
      </c>
      <c r="O84" s="12">
        <f t="shared" si="62"/>
        <v>0.60185118815397165</v>
      </c>
      <c r="P84" s="12">
        <f t="shared" si="62"/>
        <v>1.3659870022267102</v>
      </c>
    </row>
    <row r="85" spans="11:16" ht="15" customHeight="1" x14ac:dyDescent="0.2">
      <c r="K85" s="8" t="s">
        <v>303</v>
      </c>
      <c r="L85" s="10">
        <f>IFERROR((B37-C37)/ABS(C37),"-")</f>
        <v>-1</v>
      </c>
      <c r="M85" s="10">
        <f>IFERROR((D37-E37)/ABS(E37),"-")</f>
        <v>-0.689861886092629</v>
      </c>
      <c r="N85" s="10">
        <f>IFERROR((F37-G37)/ABS(G37),"-")</f>
        <v>-0.67596313378084238</v>
      </c>
      <c r="O85" s="10">
        <f t="shared" ref="O85:P89" si="63">IFERROR((H37-I37)/ABS(I37),"-")</f>
        <v>-0.35982610231542439</v>
      </c>
      <c r="P85" s="10">
        <f t="shared" si="63"/>
        <v>-0.24925335800541862</v>
      </c>
    </row>
    <row r="86" spans="11:16" ht="15" customHeight="1" x14ac:dyDescent="0.2">
      <c r="K86" s="8" t="s">
        <v>304</v>
      </c>
      <c r="L86" s="10">
        <f>IFERROR((B38-C38)/ABS(C38),"-")</f>
        <v>0.35321115142493875</v>
      </c>
      <c r="M86" s="10">
        <f>IFERROR((D38-E38)/ABS(E38),"-")</f>
        <v>0.19120491248428587</v>
      </c>
      <c r="N86" s="10">
        <f>IFERROR((F38-G38)/ABS(G38),"-")</f>
        <v>-0.13504211575038494</v>
      </c>
      <c r="O86" s="10">
        <f t="shared" si="63"/>
        <v>1.0744066047471621</v>
      </c>
      <c r="P86" s="10">
        <f t="shared" si="63"/>
        <v>0.30224432199973122</v>
      </c>
    </row>
    <row r="87" spans="11:16" ht="15" customHeight="1" x14ac:dyDescent="0.2">
      <c r="K87" s="8" t="s">
        <v>305</v>
      </c>
      <c r="L87" s="10" t="str">
        <f>IFERROR((B39-C39)/ABS(C39),"-")</f>
        <v>-</v>
      </c>
      <c r="M87" s="10" t="str">
        <f>IFERROR((D39-E39)/ABS(E39),"-")</f>
        <v>-</v>
      </c>
      <c r="N87" s="10" t="str">
        <f>IFERROR((F39-G39)/ABS(G39),"-")</f>
        <v>-</v>
      </c>
      <c r="O87" s="10" t="str">
        <f t="shared" si="63"/>
        <v>-</v>
      </c>
      <c r="P87" s="10">
        <f t="shared" si="63"/>
        <v>-1</v>
      </c>
    </row>
    <row r="88" spans="11:16" ht="15" customHeight="1" x14ac:dyDescent="0.2">
      <c r="K88" s="6" t="s">
        <v>35</v>
      </c>
      <c r="L88" s="12">
        <f>IFERROR((B40-C40)/ABS(C40),"-")</f>
        <v>-0.23712872152584746</v>
      </c>
      <c r="M88" s="12">
        <f>IFERROR((D40-E40)/ABS(E40),"-")</f>
        <v>-0.46805350991442796</v>
      </c>
      <c r="N88" s="12">
        <f>IFERROR((F40-G40)/ABS(G40),"-")</f>
        <v>-0.61541476998151468</v>
      </c>
      <c r="O88" s="12">
        <f t="shared" si="63"/>
        <v>-0.30612591865596095</v>
      </c>
      <c r="P88" s="12">
        <f t="shared" si="63"/>
        <v>-0.2385533802908068</v>
      </c>
    </row>
    <row r="89" spans="11:16" ht="15" customHeight="1" x14ac:dyDescent="0.2">
      <c r="K89" s="6" t="s">
        <v>36</v>
      </c>
      <c r="L89" s="12">
        <f>IFERROR((B41-C41)/ABS(C41),"-")</f>
        <v>0.36690143029758499</v>
      </c>
      <c r="M89" s="12">
        <f>IFERROR((D41-E41)/ABS(E41),"-")</f>
        <v>3.4153827344898247E-2</v>
      </c>
      <c r="N89" s="12">
        <f>IFERROR((F41-G41)/ABS(G41),"-")</f>
        <v>0.27109271260890078</v>
      </c>
      <c r="O89" s="12">
        <f t="shared" si="63"/>
        <v>0.4892227465208962</v>
      </c>
      <c r="P89" s="12">
        <f t="shared" si="63"/>
        <v>0.87570235956854225</v>
      </c>
    </row>
    <row r="90" spans="11:16" ht="15" customHeight="1" x14ac:dyDescent="0.2">
      <c r="K90" s="8" t="s">
        <v>38</v>
      </c>
      <c r="L90" s="10">
        <f t="shared" ref="L90:L98" si="64">IFERROR((B43-C43)/ABS(C43),"-")</f>
        <v>0</v>
      </c>
      <c r="M90" s="10">
        <f t="shared" ref="M90:M98" si="65">IFERROR((D43-E43)/ABS(E43),"-")</f>
        <v>0</v>
      </c>
      <c r="N90" s="10">
        <f t="shared" ref="N90:N98" si="66">IFERROR((F43-G43)/ABS(G43),"-")</f>
        <v>0.17411764705882352</v>
      </c>
      <c r="O90" s="10">
        <f t="shared" ref="O90:O98" si="67">IFERROR((H43-I43)/ABS(I43),"-")</f>
        <v>0</v>
      </c>
      <c r="P90" s="10">
        <f t="shared" ref="P90:P98" si="68">IFERROR((I43-J43)/ABS(J43),"-")</f>
        <v>3.4127877397182047</v>
      </c>
    </row>
    <row r="91" spans="11:16" ht="15" customHeight="1" x14ac:dyDescent="0.2">
      <c r="K91" s="8" t="s">
        <v>307</v>
      </c>
      <c r="L91" s="10">
        <f t="shared" si="64"/>
        <v>0</v>
      </c>
      <c r="M91" s="10">
        <f t="shared" si="65"/>
        <v>0</v>
      </c>
      <c r="N91" s="10">
        <f t="shared" si="66"/>
        <v>0.10052253812620177</v>
      </c>
      <c r="O91" s="10" t="str">
        <f t="shared" si="67"/>
        <v>-</v>
      </c>
      <c r="P91" s="10" t="str">
        <f t="shared" si="68"/>
        <v>-</v>
      </c>
    </row>
    <row r="92" spans="11:16" ht="15" customHeight="1" x14ac:dyDescent="0.2">
      <c r="K92" s="8" t="s">
        <v>308</v>
      </c>
      <c r="L92" s="10">
        <f t="shared" si="64"/>
        <v>0</v>
      </c>
      <c r="M92" s="10">
        <f t="shared" si="65"/>
        <v>0</v>
      </c>
      <c r="N92" s="10" t="str">
        <f t="shared" si="66"/>
        <v>-</v>
      </c>
      <c r="O92" s="10" t="str">
        <f t="shared" si="67"/>
        <v>-</v>
      </c>
      <c r="P92" s="10" t="str">
        <f t="shared" si="68"/>
        <v>-</v>
      </c>
    </row>
    <row r="93" spans="11:16" ht="15" customHeight="1" x14ac:dyDescent="0.2">
      <c r="K93" s="8" t="s">
        <v>309</v>
      </c>
      <c r="L93" s="10">
        <f t="shared" si="64"/>
        <v>0</v>
      </c>
      <c r="M93" s="10">
        <f t="shared" si="65"/>
        <v>0.83069043417026966</v>
      </c>
      <c r="N93" s="10">
        <f t="shared" si="66"/>
        <v>1.3968251885864218</v>
      </c>
      <c r="O93" s="10">
        <f t="shared" si="67"/>
        <v>0.91885827785338581</v>
      </c>
      <c r="P93" s="10">
        <f t="shared" si="68"/>
        <v>1.1279743268628679</v>
      </c>
    </row>
    <row r="94" spans="11:16" ht="15" customHeight="1" x14ac:dyDescent="0.2">
      <c r="K94" s="8" t="s">
        <v>310</v>
      </c>
      <c r="L94" s="10">
        <f t="shared" si="64"/>
        <v>-2.1229580712491168E-2</v>
      </c>
      <c r="M94" s="10">
        <f t="shared" si="65"/>
        <v>-1.7209027968576856E-2</v>
      </c>
      <c r="N94" s="10">
        <f t="shared" si="66"/>
        <v>-0.20965184818673097</v>
      </c>
      <c r="O94" s="10">
        <f t="shared" si="67"/>
        <v>15.755377443363049</v>
      </c>
      <c r="P94" s="10">
        <f t="shared" si="68"/>
        <v>23.776089159067883</v>
      </c>
    </row>
    <row r="95" spans="11:16" ht="15" customHeight="1" x14ac:dyDescent="0.2">
      <c r="K95" s="8" t="s">
        <v>311</v>
      </c>
      <c r="L95" s="10">
        <f t="shared" si="64"/>
        <v>0.4248957563597287</v>
      </c>
      <c r="M95" s="10">
        <f t="shared" si="65"/>
        <v>0.97764445645821996</v>
      </c>
      <c r="N95" s="10">
        <f t="shared" si="66"/>
        <v>0.52320383869158971</v>
      </c>
      <c r="O95" s="10">
        <f t="shared" si="67"/>
        <v>1.5361016626811785</v>
      </c>
      <c r="P95" s="10">
        <f t="shared" si="68"/>
        <v>-3.3832653455488435</v>
      </c>
    </row>
    <row r="96" spans="11:16" ht="15" customHeight="1" x14ac:dyDescent="0.2">
      <c r="K96" s="8" t="s">
        <v>312</v>
      </c>
      <c r="L96" s="10">
        <f t="shared" si="64"/>
        <v>0.1659868670219454</v>
      </c>
      <c r="M96" s="10">
        <f t="shared" si="65"/>
        <v>-0.24312788898582438</v>
      </c>
      <c r="N96" s="10">
        <f t="shared" si="66"/>
        <v>1.2535405711373249</v>
      </c>
      <c r="O96" s="10">
        <f t="shared" si="67"/>
        <v>2.5292178001510583</v>
      </c>
      <c r="P96" s="10">
        <f t="shared" si="68"/>
        <v>1.236947062305821</v>
      </c>
    </row>
    <row r="97" spans="11:16" ht="15" customHeight="1" x14ac:dyDescent="0.2">
      <c r="K97" s="6" t="s">
        <v>42</v>
      </c>
      <c r="L97" s="12">
        <f t="shared" si="64"/>
        <v>0.22095489958107986</v>
      </c>
      <c r="M97" s="12">
        <f t="shared" si="65"/>
        <v>0.17849714511663078</v>
      </c>
      <c r="N97" s="12">
        <f t="shared" si="66"/>
        <v>0.83078004023020402</v>
      </c>
      <c r="O97" s="12">
        <f t="shared" si="67"/>
        <v>2.0137823999271784</v>
      </c>
      <c r="P97" s="12">
        <f t="shared" si="68"/>
        <v>0.9192737132484613</v>
      </c>
    </row>
    <row r="98" spans="11:16" ht="15" customHeight="1" x14ac:dyDescent="0.2">
      <c r="K98" s="6" t="s">
        <v>313</v>
      </c>
      <c r="L98" s="12">
        <f t="shared" si="64"/>
        <v>0.26742357513834414</v>
      </c>
      <c r="M98" s="12">
        <f t="shared" si="65"/>
        <v>0.12835268597866184</v>
      </c>
      <c r="N98" s="12">
        <f t="shared" si="66"/>
        <v>0.58788745500321116</v>
      </c>
      <c r="O98" s="12">
        <f t="shared" si="67"/>
        <v>1.0150827639907565</v>
      </c>
      <c r="P98" s="12">
        <f t="shared" si="68"/>
        <v>0.89050597935672127</v>
      </c>
    </row>
  </sheetData>
  <mergeCells count="3">
    <mergeCell ref="A1:J1"/>
    <mergeCell ref="L1:T1"/>
    <mergeCell ref="L56:T5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9" sqref="D29"/>
    </sheetView>
  </sheetViews>
  <sheetFormatPr baseColWidth="10" defaultColWidth="8.6640625" defaultRowHeight="15" x14ac:dyDescent="0.2"/>
  <cols>
    <col min="1" max="1" width="65" customWidth="1"/>
    <col min="2" max="10" width="14" customWidth="1"/>
    <col min="11" max="11" width="65" customWidth="1"/>
    <col min="12" max="20" width="12" customWidth="1"/>
  </cols>
  <sheetData>
    <row r="1" spans="1:20" ht="21.75" customHeight="1" x14ac:dyDescent="0.2">
      <c r="A1" s="256" t="s">
        <v>320</v>
      </c>
      <c r="B1" s="256"/>
      <c r="C1" s="256"/>
      <c r="D1" s="256"/>
      <c r="E1" s="256"/>
      <c r="F1" s="256"/>
      <c r="G1" s="256"/>
      <c r="H1" s="256"/>
      <c r="I1" s="256"/>
      <c r="J1" s="256"/>
      <c r="L1" s="254" t="s">
        <v>321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24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8</v>
      </c>
      <c r="H2" s="25" t="s">
        <v>9</v>
      </c>
      <c r="I2" s="25" t="s">
        <v>10</v>
      </c>
      <c r="J2" s="25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9" t="s">
        <v>75</v>
      </c>
      <c r="B3" s="30">
        <v>35290767</v>
      </c>
      <c r="C3" s="30">
        <v>34848865</v>
      </c>
      <c r="D3" s="30">
        <v>26624070</v>
      </c>
      <c r="E3" s="30">
        <v>24420786</v>
      </c>
      <c r="F3" s="30">
        <v>16914388</v>
      </c>
      <c r="G3" s="30">
        <v>13783508</v>
      </c>
      <c r="H3" s="30">
        <v>7392433</v>
      </c>
      <c r="I3" s="30">
        <v>3154302</v>
      </c>
      <c r="J3" s="30">
        <v>1448766</v>
      </c>
      <c r="L3" s="10">
        <f t="shared" ref="L3:T3" si="0">IFERROR(B3/B3,"")</f>
        <v>1</v>
      </c>
      <c r="M3" s="10">
        <f t="shared" si="0"/>
        <v>1</v>
      </c>
      <c r="N3" s="10">
        <f t="shared" si="0"/>
        <v>1</v>
      </c>
      <c r="O3" s="10">
        <f t="shared" si="0"/>
        <v>1</v>
      </c>
      <c r="P3" s="10">
        <f t="shared" si="0"/>
        <v>1</v>
      </c>
      <c r="Q3" s="10">
        <f t="shared" si="0"/>
        <v>1</v>
      </c>
      <c r="R3" s="10">
        <f t="shared" si="0"/>
        <v>1</v>
      </c>
      <c r="S3" s="10">
        <f t="shared" si="0"/>
        <v>1</v>
      </c>
      <c r="T3" s="10">
        <f t="shared" si="0"/>
        <v>1</v>
      </c>
    </row>
    <row r="4" spans="1:20" ht="15" customHeight="1" x14ac:dyDescent="0.2">
      <c r="A4" s="29" t="s">
        <v>322</v>
      </c>
      <c r="B4" s="30">
        <v>-22250945</v>
      </c>
      <c r="C4" s="30">
        <v>-22796923</v>
      </c>
      <c r="D4" s="30">
        <v>-17416547</v>
      </c>
      <c r="E4" s="30">
        <v>-15068862</v>
      </c>
      <c r="F4" s="30">
        <v>-10437034</v>
      </c>
      <c r="G4" s="30">
        <v>-9598256</v>
      </c>
      <c r="H4" s="30">
        <v>-4906915</v>
      </c>
      <c r="I4" s="30">
        <v>-2270193</v>
      </c>
      <c r="J4" s="30">
        <v>-1016663</v>
      </c>
      <c r="L4" s="10">
        <f t="shared" ref="L4:T4" si="1">IFERROR(B4/B3,"")</f>
        <v>-0.63050329849730946</v>
      </c>
      <c r="M4" s="10">
        <f t="shared" si="1"/>
        <v>-0.65416543695182039</v>
      </c>
      <c r="N4" s="10">
        <f t="shared" si="1"/>
        <v>-0.65416546005175014</v>
      </c>
      <c r="O4" s="10">
        <f t="shared" si="1"/>
        <v>-0.61705065512633372</v>
      </c>
      <c r="P4" s="10">
        <f t="shared" si="1"/>
        <v>-0.61705064351131123</v>
      </c>
      <c r="Q4" s="10">
        <f t="shared" si="1"/>
        <v>-0.69635799536663667</v>
      </c>
      <c r="R4" s="10">
        <f t="shared" si="1"/>
        <v>-0.66377537679408116</v>
      </c>
      <c r="S4" s="10">
        <f t="shared" si="1"/>
        <v>-0.71971326778475875</v>
      </c>
      <c r="T4" s="10">
        <f t="shared" si="1"/>
        <v>-0.70174410498313733</v>
      </c>
    </row>
    <row r="5" spans="1:20" ht="15" customHeight="1" x14ac:dyDescent="0.2">
      <c r="A5" s="31" t="s">
        <v>323</v>
      </c>
      <c r="B5" s="32">
        <f t="shared" ref="B5:J5" si="2">B3+B4</f>
        <v>13039822</v>
      </c>
      <c r="C5" s="32">
        <f t="shared" si="2"/>
        <v>12051942</v>
      </c>
      <c r="D5" s="32">
        <f t="shared" si="2"/>
        <v>9207523</v>
      </c>
      <c r="E5" s="32">
        <f t="shared" si="2"/>
        <v>9351924</v>
      </c>
      <c r="F5" s="32">
        <f t="shared" si="2"/>
        <v>6477354</v>
      </c>
      <c r="G5" s="32">
        <f t="shared" si="2"/>
        <v>4185252</v>
      </c>
      <c r="H5" s="32">
        <f t="shared" si="2"/>
        <v>2485518</v>
      </c>
      <c r="I5" s="32">
        <f t="shared" si="2"/>
        <v>884109</v>
      </c>
      <c r="J5" s="32">
        <f t="shared" si="2"/>
        <v>432103</v>
      </c>
      <c r="L5" s="12">
        <f t="shared" ref="L5:T5" si="3">IFERROR(B5/B3,"")</f>
        <v>0.36949670150269048</v>
      </c>
      <c r="M5" s="12">
        <f t="shared" si="3"/>
        <v>0.34583456304817961</v>
      </c>
      <c r="N5" s="12">
        <f t="shared" si="3"/>
        <v>0.34583453994824981</v>
      </c>
      <c r="O5" s="12">
        <f t="shared" si="3"/>
        <v>0.38294934487366622</v>
      </c>
      <c r="P5" s="12">
        <f t="shared" si="3"/>
        <v>0.38294935648868877</v>
      </c>
      <c r="Q5" s="12">
        <f t="shared" si="3"/>
        <v>0.30364200463336327</v>
      </c>
      <c r="R5" s="12">
        <f t="shared" si="3"/>
        <v>0.33622462320591878</v>
      </c>
      <c r="S5" s="12">
        <f t="shared" si="3"/>
        <v>0.28028673221524131</v>
      </c>
      <c r="T5" s="12">
        <f t="shared" si="3"/>
        <v>0.29825589501686262</v>
      </c>
    </row>
    <row r="6" spans="1:20" ht="15" customHeight="1" x14ac:dyDescent="0.2">
      <c r="A6" s="29" t="s">
        <v>324</v>
      </c>
      <c r="B6" s="30">
        <v>-628308</v>
      </c>
      <c r="C6" s="30">
        <v>-611063</v>
      </c>
      <c r="D6" s="30">
        <v>-466844</v>
      </c>
      <c r="E6" s="30">
        <v>-357025</v>
      </c>
      <c r="F6" s="30">
        <v>-247284</v>
      </c>
      <c r="G6" s="30">
        <v>-121207</v>
      </c>
      <c r="H6" s="30">
        <v>-67521</v>
      </c>
      <c r="I6" s="30">
        <v>-20465</v>
      </c>
      <c r="J6" s="30">
        <v>-36991</v>
      </c>
      <c r="L6" s="10">
        <f t="shared" ref="L6:T6" si="4">IFERROR(B6/B3,"")</f>
        <v>-1.7803750199025144E-2</v>
      </c>
      <c r="M6" s="10">
        <f t="shared" si="4"/>
        <v>-1.7534660024078261E-2</v>
      </c>
      <c r="N6" s="10">
        <f t="shared" si="4"/>
        <v>-1.7534659426601568E-2</v>
      </c>
      <c r="O6" s="10">
        <f t="shared" si="4"/>
        <v>-1.4619717809246598E-2</v>
      </c>
      <c r="P6" s="10">
        <f t="shared" si="4"/>
        <v>-1.4619742671150739E-2</v>
      </c>
      <c r="Q6" s="10">
        <f t="shared" si="4"/>
        <v>-8.793624961076673E-3</v>
      </c>
      <c r="R6" s="10">
        <f t="shared" si="4"/>
        <v>-9.133799386480743E-3</v>
      </c>
      <c r="S6" s="10">
        <f t="shared" si="4"/>
        <v>-6.4879646907620133E-3</v>
      </c>
      <c r="T6" s="10">
        <f t="shared" si="4"/>
        <v>-2.5532763745145869E-2</v>
      </c>
    </row>
    <row r="7" spans="1:20" ht="15" customHeight="1" x14ac:dyDescent="0.2">
      <c r="A7" s="29" t="s">
        <v>325</v>
      </c>
      <c r="B7" s="30">
        <v>-2107723</v>
      </c>
      <c r="C7" s="30">
        <v>-1886918</v>
      </c>
      <c r="D7" s="30">
        <v>-1441580</v>
      </c>
      <c r="E7" s="30">
        <v>-976752</v>
      </c>
      <c r="F7" s="30">
        <v>-676521</v>
      </c>
      <c r="G7" s="30">
        <v>-527455</v>
      </c>
      <c r="H7" s="30">
        <v>-304665</v>
      </c>
      <c r="I7" s="30">
        <v>-65601</v>
      </c>
      <c r="J7" s="30">
        <v>-46987</v>
      </c>
      <c r="L7" s="10">
        <f t="shared" ref="L7:T7" si="5">IFERROR(B7/B3,"")</f>
        <v>-5.9724488277627968E-2</v>
      </c>
      <c r="M7" s="10">
        <f t="shared" si="5"/>
        <v>-5.4145751949166779E-2</v>
      </c>
      <c r="N7" s="10">
        <f t="shared" si="5"/>
        <v>-5.4145741053114718E-2</v>
      </c>
      <c r="O7" s="10">
        <f t="shared" si="5"/>
        <v>-3.9996747033449291E-2</v>
      </c>
      <c r="P7" s="10">
        <f t="shared" si="5"/>
        <v>-3.9996776708681389E-2</v>
      </c>
      <c r="Q7" s="10">
        <f t="shared" si="5"/>
        <v>-3.8267108779564678E-2</v>
      </c>
      <c r="R7" s="10">
        <f t="shared" si="5"/>
        <v>-4.121308911423343E-2</v>
      </c>
      <c r="S7" s="10">
        <f t="shared" si="5"/>
        <v>-2.0797311100839426E-2</v>
      </c>
      <c r="T7" s="10">
        <f t="shared" si="5"/>
        <v>-3.2432428701391389E-2</v>
      </c>
    </row>
    <row r="8" spans="1:20" ht="15" customHeight="1" x14ac:dyDescent="0.2">
      <c r="A8" s="29" t="s">
        <v>326</v>
      </c>
      <c r="B8" s="30">
        <v>-258962</v>
      </c>
      <c r="C8" s="30">
        <v>-250678</v>
      </c>
      <c r="D8" s="30">
        <v>-191515</v>
      </c>
      <c r="E8" s="30">
        <v>-102990</v>
      </c>
      <c r="F8" s="30">
        <v>-71334</v>
      </c>
      <c r="G8" s="30">
        <v>-52209</v>
      </c>
      <c r="H8" s="30">
        <v>-28709</v>
      </c>
      <c r="I8" s="30">
        <v>-22590</v>
      </c>
      <c r="J8" s="30">
        <v>-3315</v>
      </c>
      <c r="L8" s="10">
        <f t="shared" ref="L8:T8" si="6">IFERROR(B8/B3,"")</f>
        <v>-7.3379532952627521E-3</v>
      </c>
      <c r="M8" s="10">
        <f t="shared" si="6"/>
        <v>-7.1932902262383585E-3</v>
      </c>
      <c r="N8" s="10">
        <f t="shared" si="6"/>
        <v>-7.1933029022234396E-3</v>
      </c>
      <c r="O8" s="10">
        <f t="shared" si="6"/>
        <v>-4.2173089760501568E-3</v>
      </c>
      <c r="P8" s="10">
        <f t="shared" si="6"/>
        <v>-4.2173562531496855E-3</v>
      </c>
      <c r="Q8" s="10">
        <f t="shared" si="6"/>
        <v>-3.7877875501650233E-3</v>
      </c>
      <c r="R8" s="10">
        <f t="shared" si="6"/>
        <v>-3.8835658030312889E-3</v>
      </c>
      <c r="S8" s="10">
        <f t="shared" si="6"/>
        <v>-7.161647806709694E-3</v>
      </c>
      <c r="T8" s="10">
        <f t="shared" si="6"/>
        <v>-2.2881541946732599E-3</v>
      </c>
    </row>
    <row r="9" spans="1:20" ht="15" customHeight="1" x14ac:dyDescent="0.2">
      <c r="A9" s="29" t="s">
        <v>327</v>
      </c>
      <c r="B9" s="30">
        <v>4159608</v>
      </c>
      <c r="C9" s="30">
        <v>2328305</v>
      </c>
      <c r="D9" s="30">
        <v>1778794</v>
      </c>
      <c r="E9" s="30">
        <v>1886215</v>
      </c>
      <c r="F9" s="30">
        <v>1306435</v>
      </c>
      <c r="G9" s="30">
        <v>1035734</v>
      </c>
      <c r="H9" s="30">
        <v>600298</v>
      </c>
      <c r="I9" s="30">
        <v>555210</v>
      </c>
      <c r="J9" s="30">
        <v>228370</v>
      </c>
      <c r="L9" s="10">
        <f t="shared" ref="L9:T9" si="7">IFERROR(B9/B3,"")</f>
        <v>0.11786674967988085</v>
      </c>
      <c r="M9" s="10">
        <f t="shared" si="7"/>
        <v>6.6811501608445498E-2</v>
      </c>
      <c r="N9" s="10">
        <f t="shared" si="7"/>
        <v>6.6811498016644336E-2</v>
      </c>
      <c r="O9" s="10">
        <f t="shared" si="7"/>
        <v>7.7238095448688676E-2</v>
      </c>
      <c r="P9" s="10">
        <f t="shared" si="7"/>
        <v>7.7238088661558429E-2</v>
      </c>
      <c r="Q9" s="10">
        <f t="shared" si="7"/>
        <v>7.5142989723661055E-2</v>
      </c>
      <c r="R9" s="10">
        <f t="shared" si="7"/>
        <v>8.1204388325196858E-2</v>
      </c>
      <c r="S9" s="10">
        <f t="shared" si="7"/>
        <v>0.1760167542613231</v>
      </c>
      <c r="T9" s="10">
        <f t="shared" si="7"/>
        <v>0.15763070088613343</v>
      </c>
    </row>
    <row r="10" spans="1:20" ht="15" customHeight="1" x14ac:dyDescent="0.2">
      <c r="A10" s="29" t="s">
        <v>328</v>
      </c>
      <c r="B10" s="30">
        <v>-4427042</v>
      </c>
      <c r="C10" s="30">
        <v>-2993626</v>
      </c>
      <c r="D10" s="30">
        <v>-2287090</v>
      </c>
      <c r="E10" s="30">
        <v>-1828777</v>
      </c>
      <c r="F10" s="30">
        <v>-1266652</v>
      </c>
      <c r="G10" s="30">
        <v>-845227</v>
      </c>
      <c r="H10" s="30">
        <v>-492391</v>
      </c>
      <c r="I10" s="30">
        <v>-324353</v>
      </c>
      <c r="J10" s="30">
        <v>-246893</v>
      </c>
      <c r="L10" s="10">
        <f t="shared" ref="L10:T10" si="8">IFERROR(B10/B3,"")</f>
        <v>-0.12544476576550462</v>
      </c>
      <c r="M10" s="10">
        <f t="shared" si="8"/>
        <v>-8.5903113343863566E-2</v>
      </c>
      <c r="N10" s="10">
        <f t="shared" si="8"/>
        <v>-8.5903094455505868E-2</v>
      </c>
      <c r="O10" s="10">
        <f t="shared" si="8"/>
        <v>-7.4886082700204651E-2</v>
      </c>
      <c r="P10" s="10">
        <f t="shared" si="8"/>
        <v>-7.4886067411957205E-2</v>
      </c>
      <c r="Q10" s="10">
        <f t="shared" si="8"/>
        <v>-6.1321617109374477E-2</v>
      </c>
      <c r="R10" s="10">
        <f t="shared" si="8"/>
        <v>-6.6607434927039577E-2</v>
      </c>
      <c r="S10" s="10">
        <f t="shared" si="8"/>
        <v>-0.10282877162681316</v>
      </c>
      <c r="T10" s="10">
        <f t="shared" si="8"/>
        <v>-0.17041606443000457</v>
      </c>
    </row>
    <row r="11" spans="1:20" ht="15" customHeight="1" x14ac:dyDescent="0.2">
      <c r="A11" s="31" t="s">
        <v>329</v>
      </c>
      <c r="B11" s="32">
        <f t="shared" ref="B11:J11" si="9">B5+SUM(B6:B10)</f>
        <v>9777395</v>
      </c>
      <c r="C11" s="32">
        <f t="shared" si="9"/>
        <v>8637962</v>
      </c>
      <c r="D11" s="32">
        <f t="shared" si="9"/>
        <v>6599288</v>
      </c>
      <c r="E11" s="32">
        <f t="shared" si="9"/>
        <v>7972595</v>
      </c>
      <c r="F11" s="32">
        <f t="shared" si="9"/>
        <v>5521998</v>
      </c>
      <c r="G11" s="32">
        <f t="shared" si="9"/>
        <v>3674888</v>
      </c>
      <c r="H11" s="32">
        <f t="shared" si="9"/>
        <v>2192530</v>
      </c>
      <c r="I11" s="32">
        <f t="shared" si="9"/>
        <v>1006310</v>
      </c>
      <c r="J11" s="32">
        <f t="shared" si="9"/>
        <v>326287</v>
      </c>
      <c r="L11" s="12">
        <f t="shared" ref="L11:T11" si="10">IFERROR(B11/B3,"")</f>
        <v>0.27705249364515089</v>
      </c>
      <c r="M11" s="12">
        <f t="shared" si="10"/>
        <v>0.24786924911327815</v>
      </c>
      <c r="N11" s="12">
        <f t="shared" si="10"/>
        <v>0.24786924012744857</v>
      </c>
      <c r="O11" s="12">
        <f t="shared" si="10"/>
        <v>0.32646758380340418</v>
      </c>
      <c r="P11" s="12">
        <f t="shared" si="10"/>
        <v>0.32646750210530823</v>
      </c>
      <c r="Q11" s="12">
        <f t="shared" si="10"/>
        <v>0.26661485595684348</v>
      </c>
      <c r="R11" s="12">
        <f t="shared" si="10"/>
        <v>0.29659112230033063</v>
      </c>
      <c r="S11" s="12">
        <f t="shared" si="10"/>
        <v>0.3190277912514401</v>
      </c>
      <c r="T11" s="12">
        <f t="shared" si="10"/>
        <v>0.22521718483178096</v>
      </c>
    </row>
    <row r="12" spans="1:20" ht="15" customHeight="1" x14ac:dyDescent="0.2">
      <c r="A12" s="29" t="s">
        <v>330</v>
      </c>
      <c r="B12" s="30">
        <v>1057758</v>
      </c>
      <c r="C12" s="30">
        <v>1129742</v>
      </c>
      <c r="D12" s="30">
        <v>863108</v>
      </c>
      <c r="E12" s="30">
        <v>454087</v>
      </c>
      <c r="F12" s="30">
        <v>314584</v>
      </c>
      <c r="G12" s="30">
        <v>131218</v>
      </c>
      <c r="H12" s="30">
        <v>79631</v>
      </c>
      <c r="I12" s="30">
        <v>67565</v>
      </c>
      <c r="J12" s="30">
        <v>56715</v>
      </c>
      <c r="L12" s="10">
        <f t="shared" ref="L12:T12" si="11">IFERROR(B12/B3,"")</f>
        <v>2.9972655454045531E-2</v>
      </c>
      <c r="M12" s="10">
        <f t="shared" si="11"/>
        <v>3.2418329836567131E-2</v>
      </c>
      <c r="N12" s="10">
        <f t="shared" si="11"/>
        <v>3.2418334236651268E-2</v>
      </c>
      <c r="O12" s="10">
        <f t="shared" si="11"/>
        <v>1.8594282755681982E-2</v>
      </c>
      <c r="P12" s="10">
        <f t="shared" si="11"/>
        <v>1.8598603744930057E-2</v>
      </c>
      <c r="Q12" s="10">
        <f t="shared" si="11"/>
        <v>9.5199277281226239E-3</v>
      </c>
      <c r="R12" s="10">
        <f t="shared" si="11"/>
        <v>1.0771961003907645E-2</v>
      </c>
      <c r="S12" s="10">
        <f t="shared" si="11"/>
        <v>2.1419952813649421E-2</v>
      </c>
      <c r="T12" s="10">
        <f t="shared" si="11"/>
        <v>3.9147108642803602E-2</v>
      </c>
    </row>
    <row r="13" spans="1:20" ht="15" customHeight="1" x14ac:dyDescent="0.2">
      <c r="A13" s="31" t="s">
        <v>331</v>
      </c>
      <c r="B13" s="32">
        <f t="shared" ref="B13:J13" si="12">B11+B12</f>
        <v>10835153</v>
      </c>
      <c r="C13" s="32">
        <f t="shared" si="12"/>
        <v>9767704</v>
      </c>
      <c r="D13" s="32">
        <f t="shared" si="12"/>
        <v>7462396</v>
      </c>
      <c r="E13" s="32">
        <f t="shared" si="12"/>
        <v>8426682</v>
      </c>
      <c r="F13" s="32">
        <f t="shared" si="12"/>
        <v>5836582</v>
      </c>
      <c r="G13" s="32">
        <f t="shared" si="12"/>
        <v>3806106</v>
      </c>
      <c r="H13" s="32">
        <f t="shared" si="12"/>
        <v>2272161</v>
      </c>
      <c r="I13" s="32">
        <f t="shared" si="12"/>
        <v>1073875</v>
      </c>
      <c r="J13" s="32">
        <f t="shared" si="12"/>
        <v>383002</v>
      </c>
      <c r="L13" s="12">
        <f t="shared" ref="L13:T13" si="13">IFERROR(B13/B3,"")</f>
        <v>0.30702514909919643</v>
      </c>
      <c r="M13" s="12">
        <f t="shared" si="13"/>
        <v>0.2802875789498453</v>
      </c>
      <c r="N13" s="12">
        <f t="shared" si="13"/>
        <v>0.28028757436409985</v>
      </c>
      <c r="O13" s="12">
        <f t="shared" si="13"/>
        <v>0.34506186655908616</v>
      </c>
      <c r="P13" s="12">
        <f t="shared" si="13"/>
        <v>0.34506610585023828</v>
      </c>
      <c r="Q13" s="12">
        <f t="shared" si="13"/>
        <v>0.27613478368496613</v>
      </c>
      <c r="R13" s="12">
        <f t="shared" si="13"/>
        <v>0.30736308330423828</v>
      </c>
      <c r="S13" s="12">
        <f t="shared" si="13"/>
        <v>0.34044774406508954</v>
      </c>
      <c r="T13" s="12">
        <f t="shared" si="13"/>
        <v>0.26436429347458457</v>
      </c>
    </row>
    <row r="14" spans="1:20" ht="15" customHeight="1" x14ac:dyDescent="0.2">
      <c r="A14" s="29" t="s">
        <v>332</v>
      </c>
      <c r="B14" s="30">
        <v>5905860</v>
      </c>
      <c r="C14" s="30">
        <v>2247241</v>
      </c>
      <c r="D14" s="30">
        <v>1716862</v>
      </c>
      <c r="E14" s="30">
        <v>797204</v>
      </c>
      <c r="F14" s="30">
        <v>552162</v>
      </c>
      <c r="G14" s="30">
        <v>193574</v>
      </c>
      <c r="H14" s="30">
        <v>118253</v>
      </c>
      <c r="I14" s="30">
        <v>5127</v>
      </c>
      <c r="J14" s="30">
        <v>6694</v>
      </c>
      <c r="L14" s="10">
        <f t="shared" ref="L14:T14" si="14">IFERROR(B14/B3,"")</f>
        <v>0.16734858723812945</v>
      </c>
      <c r="M14" s="10">
        <f t="shared" si="14"/>
        <v>6.4485342635979673E-2</v>
      </c>
      <c r="N14" s="10">
        <f t="shared" si="14"/>
        <v>6.4485332257615005E-2</v>
      </c>
      <c r="O14" s="10">
        <f t="shared" si="14"/>
        <v>3.2644485726217004E-2</v>
      </c>
      <c r="P14" s="10">
        <f t="shared" si="14"/>
        <v>3.2644515426747928E-2</v>
      </c>
      <c r="Q14" s="10">
        <f t="shared" si="14"/>
        <v>1.4043884909414934E-2</v>
      </c>
      <c r="R14" s="10">
        <f t="shared" si="14"/>
        <v>1.5996492629693094E-2</v>
      </c>
      <c r="S14" s="10">
        <f t="shared" si="14"/>
        <v>1.6253992166888268E-3</v>
      </c>
      <c r="T14" s="10">
        <f t="shared" si="14"/>
        <v>4.6204839152768629E-3</v>
      </c>
    </row>
    <row r="15" spans="1:20" ht="15" customHeight="1" x14ac:dyDescent="0.2">
      <c r="A15" s="29" t="s">
        <v>333</v>
      </c>
      <c r="B15" s="30">
        <v>-142910</v>
      </c>
      <c r="C15" s="30">
        <v>-578722</v>
      </c>
      <c r="D15" s="30">
        <v>-442136</v>
      </c>
      <c r="E15" s="30">
        <v>-411459</v>
      </c>
      <c r="F15" s="30">
        <v>-284986</v>
      </c>
      <c r="G15" s="30">
        <v>-16654</v>
      </c>
      <c r="H15" s="30">
        <v>-10106</v>
      </c>
      <c r="I15" s="30">
        <v>-13814</v>
      </c>
      <c r="J15" s="30">
        <v>0</v>
      </c>
      <c r="L15" s="10">
        <f t="shared" ref="L15:T15" si="15">IFERROR(B15/B3,"")</f>
        <v>-4.0495011060541703E-3</v>
      </c>
      <c r="M15" s="10">
        <f t="shared" si="15"/>
        <v>-1.6606624060783615E-2</v>
      </c>
      <c r="N15" s="10">
        <f t="shared" si="15"/>
        <v>-1.6606627010821412E-2</v>
      </c>
      <c r="O15" s="10">
        <f t="shared" si="15"/>
        <v>-1.684872059400545E-2</v>
      </c>
      <c r="P15" s="10">
        <f t="shared" si="15"/>
        <v>-1.6848732570164525E-2</v>
      </c>
      <c r="Q15" s="10">
        <f t="shared" si="15"/>
        <v>-1.2082555471364764E-3</v>
      </c>
      <c r="R15" s="10">
        <f t="shared" si="15"/>
        <v>-1.367073600802334E-3</v>
      </c>
      <c r="S15" s="10">
        <f t="shared" si="15"/>
        <v>-4.3794157946829438E-3</v>
      </c>
      <c r="T15" s="10">
        <f t="shared" si="15"/>
        <v>0</v>
      </c>
    </row>
    <row r="16" spans="1:20" ht="15" customHeight="1" x14ac:dyDescent="0.2">
      <c r="A16" s="35" t="s">
        <v>334</v>
      </c>
      <c r="B16" s="36">
        <f t="shared" ref="B16:J16" si="16">B11+B14+B15</f>
        <v>15540345</v>
      </c>
      <c r="C16" s="36">
        <f t="shared" si="16"/>
        <v>10306481</v>
      </c>
      <c r="D16" s="36">
        <f t="shared" si="16"/>
        <v>7874014</v>
      </c>
      <c r="E16" s="36">
        <f t="shared" si="16"/>
        <v>8358340</v>
      </c>
      <c r="F16" s="36">
        <f t="shared" si="16"/>
        <v>5789174</v>
      </c>
      <c r="G16" s="36">
        <f t="shared" si="16"/>
        <v>3851808</v>
      </c>
      <c r="H16" s="36">
        <f t="shared" si="16"/>
        <v>2300677</v>
      </c>
      <c r="I16" s="36">
        <f t="shared" si="16"/>
        <v>997623</v>
      </c>
      <c r="J16" s="36">
        <f t="shared" si="16"/>
        <v>332981</v>
      </c>
      <c r="L16" s="37">
        <f t="shared" ref="L16:T16" si="17">IFERROR(B16/B3,"")</f>
        <v>0.44035157977722617</v>
      </c>
      <c r="M16" s="37">
        <f t="shared" si="17"/>
        <v>0.29574796768847422</v>
      </c>
      <c r="N16" s="37">
        <f t="shared" si="17"/>
        <v>0.2957479453742422</v>
      </c>
      <c r="O16" s="37">
        <f t="shared" si="17"/>
        <v>0.34226334893561577</v>
      </c>
      <c r="P16" s="37">
        <f t="shared" si="17"/>
        <v>0.34226328496189162</v>
      </c>
      <c r="Q16" s="37">
        <f t="shared" si="17"/>
        <v>0.27945048531912198</v>
      </c>
      <c r="R16" s="37">
        <f t="shared" si="17"/>
        <v>0.31122054132922139</v>
      </c>
      <c r="S16" s="37">
        <f t="shared" si="17"/>
        <v>0.31627377467344597</v>
      </c>
      <c r="T16" s="37">
        <f t="shared" si="17"/>
        <v>0.22983766874705783</v>
      </c>
    </row>
    <row r="17" spans="1:20" ht="15" customHeight="1" x14ac:dyDescent="0.2">
      <c r="A17" s="29" t="s">
        <v>335</v>
      </c>
      <c r="B17" s="30">
        <v>1817789</v>
      </c>
      <c r="C17" s="30">
        <v>2316704</v>
      </c>
      <c r="D17" s="30">
        <v>1769931</v>
      </c>
      <c r="E17" s="30">
        <v>1472871</v>
      </c>
      <c r="F17" s="30">
        <v>1020144</v>
      </c>
      <c r="G17" s="30">
        <v>717193</v>
      </c>
      <c r="H17" s="30">
        <v>35679</v>
      </c>
      <c r="I17" s="30">
        <v>16916</v>
      </c>
      <c r="J17" s="30">
        <v>0</v>
      </c>
      <c r="L17" s="10">
        <f t="shared" ref="L17:T17" si="18">IFERROR(B17/B3,"")</f>
        <v>5.1508911665195604E-2</v>
      </c>
      <c r="M17" s="10">
        <f t="shared" si="18"/>
        <v>6.6478606979022123E-2</v>
      </c>
      <c r="N17" s="10">
        <f t="shared" si="18"/>
        <v>6.6478603759680621E-2</v>
      </c>
      <c r="O17" s="10">
        <f t="shared" si="18"/>
        <v>6.031218651193291E-2</v>
      </c>
      <c r="P17" s="10">
        <f t="shared" si="18"/>
        <v>6.0312202841746328E-2</v>
      </c>
      <c r="Q17" s="10">
        <f t="shared" si="18"/>
        <v>5.2032690081509E-2</v>
      </c>
      <c r="R17" s="10">
        <f t="shared" si="18"/>
        <v>4.8264218289161363E-3</v>
      </c>
      <c r="S17" s="10">
        <f t="shared" si="18"/>
        <v>5.3628346302922172E-3</v>
      </c>
      <c r="T17" s="10">
        <f t="shared" si="18"/>
        <v>0</v>
      </c>
    </row>
    <row r="18" spans="1:20" ht="15" customHeight="1" x14ac:dyDescent="0.2">
      <c r="A18" s="29" t="s">
        <v>336</v>
      </c>
      <c r="B18" s="30">
        <v>-1497125</v>
      </c>
      <c r="C18" s="30">
        <v>-1143016</v>
      </c>
      <c r="D18" s="30">
        <v>-873249</v>
      </c>
      <c r="E18" s="30">
        <v>-1214248</v>
      </c>
      <c r="F18" s="30">
        <v>-841016</v>
      </c>
      <c r="G18" s="30">
        <v>-1241955</v>
      </c>
      <c r="H18" s="30">
        <v>-358014</v>
      </c>
      <c r="I18" s="30">
        <v>-459443</v>
      </c>
      <c r="J18" s="30">
        <v>-101320</v>
      </c>
      <c r="L18" s="10">
        <f t="shared" ref="L18:T18" si="19">IFERROR(B18/B3,"")</f>
        <v>-4.2422569053259737E-2</v>
      </c>
      <c r="M18" s="10">
        <f t="shared" si="19"/>
        <v>-3.2799231768380406E-2</v>
      </c>
      <c r="N18" s="10">
        <f t="shared" si="19"/>
        <v>-3.2799230170293271E-2</v>
      </c>
      <c r="O18" s="10">
        <f t="shared" si="19"/>
        <v>-4.9721904937867274E-2</v>
      </c>
      <c r="P18" s="10">
        <f t="shared" si="19"/>
        <v>-4.9721929046442591E-2</v>
      </c>
      <c r="Q18" s="10">
        <f t="shared" si="19"/>
        <v>-9.0104420442169E-2</v>
      </c>
      <c r="R18" s="10">
        <f t="shared" si="19"/>
        <v>-4.8429793005902118E-2</v>
      </c>
      <c r="S18" s="10">
        <f t="shared" si="19"/>
        <v>-0.14565599616016475</v>
      </c>
      <c r="T18" s="10">
        <f t="shared" si="19"/>
        <v>-6.9935379488475016E-2</v>
      </c>
    </row>
    <row r="19" spans="1:20" ht="15" customHeight="1" x14ac:dyDescent="0.2">
      <c r="A19" s="29" t="s">
        <v>337</v>
      </c>
      <c r="B19" s="30">
        <v>-8068557</v>
      </c>
      <c r="C19" s="30">
        <v>-4744207</v>
      </c>
      <c r="D19" s="30">
        <v>-3624511</v>
      </c>
      <c r="E19" s="30">
        <v>-1059874</v>
      </c>
      <c r="F19" s="30">
        <v>-734093</v>
      </c>
      <c r="G19" s="30">
        <v>-1043997</v>
      </c>
      <c r="H19" s="30">
        <v>0</v>
      </c>
      <c r="I19" s="30">
        <v>0</v>
      </c>
      <c r="J19" s="30">
        <v>0</v>
      </c>
      <c r="L19" s="10">
        <f t="shared" ref="L19:T19" si="20">IFERROR(B19/B3,"")</f>
        <v>-0.22863082006690305</v>
      </c>
      <c r="M19" s="10">
        <f t="shared" si="20"/>
        <v>-0.13613662883999236</v>
      </c>
      <c r="N19" s="10">
        <f t="shared" si="20"/>
        <v>-0.13613662373934562</v>
      </c>
      <c r="O19" s="10">
        <f t="shared" si="20"/>
        <v>-4.3400486782038873E-2</v>
      </c>
      <c r="P19" s="10">
        <f t="shared" si="20"/>
        <v>-4.3400506125317685E-2</v>
      </c>
      <c r="Q19" s="10">
        <f t="shared" si="20"/>
        <v>-7.5742474267073381E-2</v>
      </c>
      <c r="R19" s="10">
        <f t="shared" si="20"/>
        <v>0</v>
      </c>
      <c r="S19" s="10">
        <f t="shared" si="20"/>
        <v>0</v>
      </c>
      <c r="T19" s="10">
        <f t="shared" si="20"/>
        <v>0</v>
      </c>
    </row>
    <row r="20" spans="1:20" ht="15" customHeight="1" x14ac:dyDescent="0.2">
      <c r="A20" s="35" t="s">
        <v>338</v>
      </c>
      <c r="B20" s="36">
        <f t="shared" ref="B20:J20" si="21">B16+B17+B18+B19</f>
        <v>7792452</v>
      </c>
      <c r="C20" s="36">
        <f t="shared" si="21"/>
        <v>6735962</v>
      </c>
      <c r="D20" s="36">
        <f t="shared" si="21"/>
        <v>5146185</v>
      </c>
      <c r="E20" s="36">
        <f t="shared" si="21"/>
        <v>7557089</v>
      </c>
      <c r="F20" s="36">
        <f t="shared" si="21"/>
        <v>5234209</v>
      </c>
      <c r="G20" s="36">
        <f t="shared" si="21"/>
        <v>2283049</v>
      </c>
      <c r="H20" s="36">
        <f t="shared" si="21"/>
        <v>1978342</v>
      </c>
      <c r="I20" s="36">
        <f t="shared" si="21"/>
        <v>555096</v>
      </c>
      <c r="J20" s="36">
        <f t="shared" si="21"/>
        <v>231661</v>
      </c>
      <c r="L20" s="37">
        <f t="shared" ref="L20:T20" si="22">IFERROR(B20/B3,"")</f>
        <v>0.22080710232225897</v>
      </c>
      <c r="M20" s="37">
        <f t="shared" si="22"/>
        <v>0.1932907140591236</v>
      </c>
      <c r="N20" s="37">
        <f t="shared" si="22"/>
        <v>0.19329069522428388</v>
      </c>
      <c r="O20" s="37">
        <f t="shared" si="22"/>
        <v>0.30945314372764249</v>
      </c>
      <c r="P20" s="37">
        <f t="shared" si="22"/>
        <v>0.30945305263187767</v>
      </c>
      <c r="Q20" s="37">
        <f t="shared" si="22"/>
        <v>0.16563628069138858</v>
      </c>
      <c r="R20" s="37">
        <f t="shared" si="22"/>
        <v>0.26761717015223541</v>
      </c>
      <c r="S20" s="37">
        <f t="shared" si="22"/>
        <v>0.17598061314357344</v>
      </c>
      <c r="T20" s="37">
        <f t="shared" si="22"/>
        <v>0.15990228925858282</v>
      </c>
    </row>
    <row r="21" spans="1:20" ht="15" customHeight="1" x14ac:dyDescent="0.2">
      <c r="A21" s="29" t="s">
        <v>339</v>
      </c>
      <c r="B21" s="30">
        <v>-495655</v>
      </c>
      <c r="C21" s="30">
        <v>-577372</v>
      </c>
      <c r="D21" s="30">
        <v>-441104</v>
      </c>
      <c r="E21" s="30">
        <v>-1150076</v>
      </c>
      <c r="F21" s="30">
        <v>-796568</v>
      </c>
      <c r="G21" s="30">
        <v>-441768</v>
      </c>
      <c r="H21" s="30">
        <v>-253435</v>
      </c>
      <c r="I21" s="30">
        <v>-57469</v>
      </c>
      <c r="J21" s="30">
        <v>-485</v>
      </c>
      <c r="L21" s="10">
        <f t="shared" ref="L21:T21" si="23">IFERROR(B21/B3,"")</f>
        <v>-1.404489168512546E-2</v>
      </c>
      <c r="M21" s="10">
        <f t="shared" si="23"/>
        <v>-1.6567885352937607E-2</v>
      </c>
      <c r="N21" s="10">
        <f t="shared" si="23"/>
        <v>-1.6567865093503737E-2</v>
      </c>
      <c r="O21" s="10">
        <f t="shared" si="23"/>
        <v>-4.7094143489075251E-2</v>
      </c>
      <c r="P21" s="10">
        <f t="shared" si="23"/>
        <v>-4.7094107099825311E-2</v>
      </c>
      <c r="Q21" s="10">
        <f t="shared" si="23"/>
        <v>-3.2050476555025034E-2</v>
      </c>
      <c r="R21" s="10">
        <f t="shared" si="23"/>
        <v>-3.4283029687249111E-2</v>
      </c>
      <c r="S21" s="10">
        <f t="shared" si="23"/>
        <v>-1.8219244701363407E-2</v>
      </c>
      <c r="T21" s="10">
        <f t="shared" si="23"/>
        <v>-3.3476765744088415E-4</v>
      </c>
    </row>
    <row r="22" spans="1:20" ht="15" customHeight="1" x14ac:dyDescent="0.2">
      <c r="A22" s="29" t="s">
        <v>340</v>
      </c>
      <c r="B22" s="30">
        <v>372113</v>
      </c>
      <c r="C22" s="30">
        <v>418593</v>
      </c>
      <c r="D22" s="30">
        <v>319800</v>
      </c>
      <c r="E22" s="30">
        <v>231995</v>
      </c>
      <c r="F22" s="30">
        <v>160685</v>
      </c>
      <c r="G22" s="30">
        <v>199209</v>
      </c>
      <c r="H22" s="30">
        <v>102103</v>
      </c>
      <c r="I22" s="30">
        <v>20054</v>
      </c>
      <c r="J22" s="30">
        <v>245</v>
      </c>
      <c r="L22" s="10">
        <f t="shared" ref="L22:T22" si="24">IFERROR(B22/B3,"")</f>
        <v>1.0544202680548145E-2</v>
      </c>
      <c r="M22" s="10">
        <f t="shared" si="24"/>
        <v>1.2011668098803217E-2</v>
      </c>
      <c r="N22" s="10">
        <f t="shared" si="24"/>
        <v>1.2011687168791248E-2</v>
      </c>
      <c r="O22" s="10">
        <f t="shared" si="24"/>
        <v>9.499898979500496E-3</v>
      </c>
      <c r="P22" s="10">
        <f t="shared" si="24"/>
        <v>9.4999003215487307E-3</v>
      </c>
      <c r="Q22" s="10">
        <f t="shared" si="24"/>
        <v>1.4452706814549679E-2</v>
      </c>
      <c r="R22" s="10">
        <f t="shared" si="24"/>
        <v>1.3811826228252593E-2</v>
      </c>
      <c r="S22" s="10">
        <f t="shared" si="24"/>
        <v>6.3576664504540149E-3</v>
      </c>
      <c r="T22" s="10">
        <f t="shared" si="24"/>
        <v>1.6910943520209612E-4</v>
      </c>
    </row>
    <row r="23" spans="1:20" ht="15" customHeight="1" x14ac:dyDescent="0.2">
      <c r="A23" s="31" t="s">
        <v>341</v>
      </c>
      <c r="B23" s="32">
        <f t="shared" ref="B23:J23" si="25">B20+B21+B22</f>
        <v>7668910</v>
      </c>
      <c r="C23" s="32">
        <f t="shared" si="25"/>
        <v>6577183</v>
      </c>
      <c r="D23" s="32">
        <f t="shared" si="25"/>
        <v>5024881</v>
      </c>
      <c r="E23" s="32">
        <f t="shared" si="25"/>
        <v>6639008</v>
      </c>
      <c r="F23" s="32">
        <f t="shared" si="25"/>
        <v>4598326</v>
      </c>
      <c r="G23" s="32">
        <f t="shared" si="25"/>
        <v>2040490</v>
      </c>
      <c r="H23" s="32">
        <f t="shared" si="25"/>
        <v>1827010</v>
      </c>
      <c r="I23" s="32">
        <f t="shared" si="25"/>
        <v>517681</v>
      </c>
      <c r="J23" s="32">
        <f t="shared" si="25"/>
        <v>231421</v>
      </c>
      <c r="L23" s="12">
        <f t="shared" ref="L23:T23" si="26">IFERROR(B23/B3,"")</f>
        <v>0.21730641331768163</v>
      </c>
      <c r="M23" s="12">
        <f t="shared" si="26"/>
        <v>0.18873449680498919</v>
      </c>
      <c r="N23" s="12">
        <f t="shared" si="26"/>
        <v>0.18873451729957141</v>
      </c>
      <c r="O23" s="12">
        <f t="shared" si="26"/>
        <v>0.27185889921806777</v>
      </c>
      <c r="P23" s="12">
        <f t="shared" si="26"/>
        <v>0.27185884585360109</v>
      </c>
      <c r="Q23" s="12">
        <f t="shared" si="26"/>
        <v>0.14803851095091322</v>
      </c>
      <c r="R23" s="12">
        <f t="shared" si="26"/>
        <v>0.24714596669323888</v>
      </c>
      <c r="S23" s="12">
        <f t="shared" si="26"/>
        <v>0.16411903489266405</v>
      </c>
      <c r="T23" s="12">
        <f t="shared" si="26"/>
        <v>0.15973663103634403</v>
      </c>
    </row>
    <row r="24" spans="1:20" ht="15" customHeight="1" x14ac:dyDescent="0.2">
      <c r="A24" s="29" t="s">
        <v>342</v>
      </c>
      <c r="B24" s="38">
        <v>7.68</v>
      </c>
      <c r="C24" s="38">
        <v>6.59</v>
      </c>
      <c r="D24" s="38">
        <v>5.03</v>
      </c>
      <c r="E24" s="38">
        <v>6.7</v>
      </c>
      <c r="F24" s="38">
        <v>4.6399999999999997</v>
      </c>
      <c r="G24" s="38">
        <v>2.4</v>
      </c>
      <c r="H24" s="38">
        <v>2.15</v>
      </c>
      <c r="I24" s="38">
        <v>2.52</v>
      </c>
      <c r="J24" s="38">
        <v>1.21</v>
      </c>
      <c r="L24" s="10">
        <f t="shared" ref="L24:T24" si="27">IFERROR(B24/B3,"")</f>
        <v>2.1762065981733975E-7</v>
      </c>
      <c r="M24" s="10">
        <f t="shared" si="27"/>
        <v>1.8910228496681311E-7</v>
      </c>
      <c r="N24" s="10">
        <f t="shared" si="27"/>
        <v>1.8892678692626634E-7</v>
      </c>
      <c r="O24" s="10">
        <f t="shared" si="27"/>
        <v>2.7435644372789638E-7</v>
      </c>
      <c r="P24" s="10">
        <f t="shared" si="27"/>
        <v>2.7432266541361118E-7</v>
      </c>
      <c r="Q24" s="10">
        <f t="shared" si="27"/>
        <v>1.7412113084709639E-7</v>
      </c>
      <c r="R24" s="10">
        <f t="shared" si="27"/>
        <v>2.9083794198743498E-7</v>
      </c>
      <c r="S24" s="10">
        <f t="shared" si="27"/>
        <v>7.9890891867677863E-7</v>
      </c>
      <c r="T24" s="10">
        <f t="shared" si="27"/>
        <v>8.3519353712055632E-7</v>
      </c>
    </row>
    <row r="25" spans="1:20" ht="15" customHeight="1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20" ht="15" customHeight="1" x14ac:dyDescent="0.2">
      <c r="A26" s="33"/>
      <c r="B26" s="34"/>
      <c r="C26" s="34"/>
      <c r="D26" s="34"/>
      <c r="E26" s="34"/>
      <c r="F26" s="34"/>
      <c r="G26" s="34"/>
      <c r="H26" s="34"/>
      <c r="I26" s="34"/>
      <c r="J26" s="34"/>
    </row>
    <row r="29" spans="1:20" ht="21.75" customHeight="1" x14ac:dyDescent="0.2">
      <c r="L29" s="254" t="s">
        <v>314</v>
      </c>
      <c r="M29" s="254"/>
      <c r="N29" s="254"/>
      <c r="O29" s="254"/>
      <c r="P29" s="254"/>
      <c r="Q29" s="254"/>
      <c r="R29" s="254"/>
      <c r="S29" s="254"/>
      <c r="T29" s="254"/>
    </row>
    <row r="30" spans="1:20" ht="15" customHeight="1" x14ac:dyDescent="0.2">
      <c r="L30" s="2" t="s">
        <v>315</v>
      </c>
      <c r="M30" s="2" t="s">
        <v>316</v>
      </c>
      <c r="N30" s="2" t="s">
        <v>317</v>
      </c>
      <c r="O30" s="2" t="s">
        <v>318</v>
      </c>
      <c r="P30" s="2" t="s">
        <v>319</v>
      </c>
    </row>
    <row r="31" spans="1:20" ht="15" customHeight="1" x14ac:dyDescent="0.2">
      <c r="K31" s="8" t="s">
        <v>75</v>
      </c>
      <c r="L31" s="10">
        <f t="shared" ref="L31:L52" si="28">IFERROR((B3-C3)/ABS(C3),"-")</f>
        <v>1.2680527758938491E-2</v>
      </c>
      <c r="M31" s="10">
        <f t="shared" ref="M31:M52" si="29">IFERROR((D3-E3)/ABS(E3),"-")</f>
        <v>9.022166608396634E-2</v>
      </c>
      <c r="N31" s="10">
        <f t="shared" ref="N31:N52" si="30">IFERROR((F3-G3)/ABS(G3),"-")</f>
        <v>0.22714681922773217</v>
      </c>
      <c r="O31" s="10">
        <f t="shared" ref="O31:O52" si="31">IFERROR((H3-I3)/ABS(I3),"-")</f>
        <v>1.3436034342938628</v>
      </c>
      <c r="P31" s="10">
        <f t="shared" ref="P31:P52" si="32">IFERROR((I3-J3)/ABS(J3),"-")</f>
        <v>1.1772335905177234</v>
      </c>
    </row>
    <row r="32" spans="1:20" ht="15" customHeight="1" x14ac:dyDescent="0.2">
      <c r="K32" s="8" t="s">
        <v>322</v>
      </c>
      <c r="L32" s="10">
        <f t="shared" si="28"/>
        <v>2.3949635659163301E-2</v>
      </c>
      <c r="M32" s="10">
        <f t="shared" si="29"/>
        <v>-0.15579710000662292</v>
      </c>
      <c r="N32" s="10">
        <f t="shared" si="30"/>
        <v>-8.7388583926079899E-2</v>
      </c>
      <c r="O32" s="10">
        <f t="shared" si="31"/>
        <v>-1.1614527927801732</v>
      </c>
      <c r="P32" s="10">
        <f t="shared" si="32"/>
        <v>-1.2329847746991875</v>
      </c>
    </row>
    <row r="33" spans="11:16" ht="15" customHeight="1" x14ac:dyDescent="0.2">
      <c r="K33" s="6" t="s">
        <v>323</v>
      </c>
      <c r="L33" s="12">
        <f t="shared" si="28"/>
        <v>8.1968532540232938E-2</v>
      </c>
      <c r="M33" s="12">
        <f t="shared" si="29"/>
        <v>-1.544077988657735E-2</v>
      </c>
      <c r="N33" s="12">
        <f t="shared" si="30"/>
        <v>0.54766164618044499</v>
      </c>
      <c r="O33" s="12">
        <f t="shared" si="31"/>
        <v>1.8113253003871694</v>
      </c>
      <c r="P33" s="12">
        <f t="shared" si="32"/>
        <v>1.0460607771758121</v>
      </c>
    </row>
    <row r="34" spans="11:16" ht="15" customHeight="1" x14ac:dyDescent="0.2">
      <c r="K34" s="8" t="s">
        <v>324</v>
      </c>
      <c r="L34" s="10">
        <f t="shared" si="28"/>
        <v>-2.8221312696072254E-2</v>
      </c>
      <c r="M34" s="10">
        <f t="shared" si="29"/>
        <v>-0.30759470625306351</v>
      </c>
      <c r="N34" s="10">
        <f t="shared" si="30"/>
        <v>-1.0401791975710974</v>
      </c>
      <c r="O34" s="10">
        <f t="shared" si="31"/>
        <v>-2.2993403371610066</v>
      </c>
      <c r="P34" s="10">
        <f t="shared" si="32"/>
        <v>0.44675731934794949</v>
      </c>
    </row>
    <row r="35" spans="11:16" ht="15" customHeight="1" x14ac:dyDescent="0.2">
      <c r="K35" s="8" t="s">
        <v>325</v>
      </c>
      <c r="L35" s="10">
        <f t="shared" si="28"/>
        <v>-0.1170188635648184</v>
      </c>
      <c r="M35" s="10">
        <f t="shared" si="29"/>
        <v>-0.47589152620112374</v>
      </c>
      <c r="N35" s="10">
        <f t="shared" si="30"/>
        <v>-0.28261368268383086</v>
      </c>
      <c r="O35" s="10">
        <f t="shared" si="31"/>
        <v>-3.6442127406594413</v>
      </c>
      <c r="P35" s="10">
        <f t="shared" si="32"/>
        <v>-0.39615212718411474</v>
      </c>
    </row>
    <row r="36" spans="11:16" ht="15" customHeight="1" x14ac:dyDescent="0.2">
      <c r="K36" s="8" t="s">
        <v>326</v>
      </c>
      <c r="L36" s="10">
        <f t="shared" si="28"/>
        <v>-3.3046378222261225E-2</v>
      </c>
      <c r="M36" s="10">
        <f t="shared" si="29"/>
        <v>-0.85954947082240996</v>
      </c>
      <c r="N36" s="10">
        <f t="shared" si="30"/>
        <v>-0.36631615238751941</v>
      </c>
      <c r="O36" s="10">
        <f t="shared" si="31"/>
        <v>-0.27087206728640989</v>
      </c>
      <c r="P36" s="10">
        <f t="shared" si="32"/>
        <v>-5.8144796380090495</v>
      </c>
    </row>
    <row r="37" spans="11:16" ht="15" customHeight="1" x14ac:dyDescent="0.2">
      <c r="K37" s="8" t="s">
        <v>327</v>
      </c>
      <c r="L37" s="10">
        <f t="shared" si="28"/>
        <v>0.786539134692405</v>
      </c>
      <c r="M37" s="10">
        <f t="shared" si="29"/>
        <v>-5.6950559718801939E-2</v>
      </c>
      <c r="N37" s="10">
        <f t="shared" si="30"/>
        <v>0.26136150787750523</v>
      </c>
      <c r="O37" s="10">
        <f t="shared" si="31"/>
        <v>8.1208911943228684E-2</v>
      </c>
      <c r="P37" s="10">
        <f t="shared" si="32"/>
        <v>1.4311862328677147</v>
      </c>
    </row>
    <row r="38" spans="11:16" ht="15" customHeight="1" x14ac:dyDescent="0.2">
      <c r="K38" s="8" t="s">
        <v>328</v>
      </c>
      <c r="L38" s="10">
        <f t="shared" si="28"/>
        <v>-0.47882267190357114</v>
      </c>
      <c r="M38" s="10">
        <f t="shared" si="29"/>
        <v>-0.25061174763243416</v>
      </c>
      <c r="N38" s="10">
        <f t="shared" si="30"/>
        <v>-0.49859386886599694</v>
      </c>
      <c r="O38" s="10">
        <f t="shared" si="31"/>
        <v>-0.5180713605238737</v>
      </c>
      <c r="P38" s="10">
        <f t="shared" si="32"/>
        <v>-0.31373915015816567</v>
      </c>
    </row>
    <row r="39" spans="11:16" ht="15" customHeight="1" x14ac:dyDescent="0.2">
      <c r="K39" s="6" t="s">
        <v>329</v>
      </c>
      <c r="L39" s="12">
        <f t="shared" si="28"/>
        <v>0.13190993431089418</v>
      </c>
      <c r="M39" s="12">
        <f t="shared" si="29"/>
        <v>-0.17225345072714718</v>
      </c>
      <c r="N39" s="12">
        <f t="shared" si="30"/>
        <v>0.5026302842426762</v>
      </c>
      <c r="O39" s="12">
        <f t="shared" si="31"/>
        <v>1.1787818862974631</v>
      </c>
      <c r="P39" s="12">
        <f t="shared" si="32"/>
        <v>2.0841253252504699</v>
      </c>
    </row>
    <row r="40" spans="11:16" ht="15" customHeight="1" x14ac:dyDescent="0.2">
      <c r="K40" s="8" t="s">
        <v>330</v>
      </c>
      <c r="L40" s="10">
        <f t="shared" si="28"/>
        <v>-6.3717202688755484E-2</v>
      </c>
      <c r="M40" s="10">
        <f t="shared" si="29"/>
        <v>0.90075470119162182</v>
      </c>
      <c r="N40" s="10">
        <f t="shared" si="30"/>
        <v>1.3974149887972687</v>
      </c>
      <c r="O40" s="10">
        <f t="shared" si="31"/>
        <v>0.17858358617627471</v>
      </c>
      <c r="P40" s="10">
        <f t="shared" si="32"/>
        <v>0.19130741426430398</v>
      </c>
    </row>
    <row r="41" spans="11:16" ht="15" customHeight="1" x14ac:dyDescent="0.2">
      <c r="K41" s="6" t="s">
        <v>331</v>
      </c>
      <c r="L41" s="12">
        <f t="shared" si="28"/>
        <v>0.1092835122767848</v>
      </c>
      <c r="M41" s="12">
        <f t="shared" si="29"/>
        <v>-0.11443246582700048</v>
      </c>
      <c r="N41" s="12">
        <f t="shared" si="30"/>
        <v>0.53347857363930484</v>
      </c>
      <c r="O41" s="12">
        <f t="shared" si="31"/>
        <v>1.115852403678268</v>
      </c>
      <c r="P41" s="12">
        <f t="shared" si="32"/>
        <v>1.8038365334906867</v>
      </c>
    </row>
    <row r="42" spans="11:16" ht="15" customHeight="1" x14ac:dyDescent="0.2">
      <c r="K42" s="8" t="s">
        <v>332</v>
      </c>
      <c r="L42" s="10">
        <f t="shared" si="28"/>
        <v>1.6280492390446775</v>
      </c>
      <c r="M42" s="10">
        <f t="shared" si="29"/>
        <v>1.1536043471934412</v>
      </c>
      <c r="N42" s="10">
        <f t="shared" si="30"/>
        <v>1.8524595245229214</v>
      </c>
      <c r="O42" s="10">
        <f t="shared" si="31"/>
        <v>22.064755217476108</v>
      </c>
      <c r="P42" s="10">
        <f t="shared" si="32"/>
        <v>-0.23409023005676727</v>
      </c>
    </row>
    <row r="43" spans="11:16" ht="15" customHeight="1" x14ac:dyDescent="0.2">
      <c r="K43" s="8" t="s">
        <v>333</v>
      </c>
      <c r="L43" s="10">
        <f t="shared" si="28"/>
        <v>0.75305932727630887</v>
      </c>
      <c r="M43" s="10">
        <f t="shared" si="29"/>
        <v>-7.4556638693041105E-2</v>
      </c>
      <c r="N43" s="10">
        <f t="shared" si="30"/>
        <v>-16.112165245586645</v>
      </c>
      <c r="O43" s="10">
        <f t="shared" si="31"/>
        <v>0.26842333864195744</v>
      </c>
      <c r="P43" s="10" t="str">
        <f t="shared" si="32"/>
        <v>-</v>
      </c>
    </row>
    <row r="44" spans="11:16" ht="15" customHeight="1" x14ac:dyDescent="0.2">
      <c r="K44" s="39" t="s">
        <v>334</v>
      </c>
      <c r="L44" s="37">
        <f t="shared" si="28"/>
        <v>0.50782260210832386</v>
      </c>
      <c r="M44" s="37">
        <f t="shared" si="29"/>
        <v>-5.79452379300196E-2</v>
      </c>
      <c r="N44" s="37">
        <f t="shared" si="30"/>
        <v>0.50297574541617862</v>
      </c>
      <c r="O44" s="37">
        <f t="shared" si="31"/>
        <v>1.3061587393233716</v>
      </c>
      <c r="P44" s="37">
        <f t="shared" si="32"/>
        <v>1.9960358098510125</v>
      </c>
    </row>
    <row r="45" spans="11:16" ht="15" customHeight="1" x14ac:dyDescent="0.2">
      <c r="K45" s="8" t="s">
        <v>335</v>
      </c>
      <c r="L45" s="10">
        <f t="shared" si="28"/>
        <v>-0.21535552232827326</v>
      </c>
      <c r="M45" s="10">
        <f t="shared" si="29"/>
        <v>0.20168772417951064</v>
      </c>
      <c r="N45" s="10">
        <f t="shared" si="30"/>
        <v>0.42241209827759058</v>
      </c>
      <c r="O45" s="10">
        <f t="shared" si="31"/>
        <v>1.1091865689288247</v>
      </c>
      <c r="P45" s="10" t="str">
        <f t="shared" si="32"/>
        <v>-</v>
      </c>
    </row>
    <row r="46" spans="11:16" ht="15" customHeight="1" x14ac:dyDescent="0.2">
      <c r="K46" s="8" t="s">
        <v>336</v>
      </c>
      <c r="L46" s="10">
        <f t="shared" si="28"/>
        <v>-0.30980231247856549</v>
      </c>
      <c r="M46" s="10">
        <f t="shared" si="29"/>
        <v>0.28083142817612217</v>
      </c>
      <c r="N46" s="10">
        <f t="shared" si="30"/>
        <v>0.32282892697400467</v>
      </c>
      <c r="O46" s="10">
        <f t="shared" si="31"/>
        <v>0.22076514388074256</v>
      </c>
      <c r="P46" s="10">
        <f t="shared" si="32"/>
        <v>-3.5345736281089617</v>
      </c>
    </row>
    <row r="47" spans="11:16" ht="15" customHeight="1" x14ac:dyDescent="0.2">
      <c r="K47" s="8" t="s">
        <v>337</v>
      </c>
      <c r="L47" s="10">
        <f t="shared" si="28"/>
        <v>-0.70071773849665497</v>
      </c>
      <c r="M47" s="10">
        <f t="shared" si="29"/>
        <v>-2.4197564993574709</v>
      </c>
      <c r="N47" s="10">
        <f t="shared" si="30"/>
        <v>0.29684376487671899</v>
      </c>
      <c r="O47" s="10" t="str">
        <f t="shared" si="31"/>
        <v>-</v>
      </c>
      <c r="P47" s="10" t="str">
        <f t="shared" si="32"/>
        <v>-</v>
      </c>
    </row>
    <row r="48" spans="11:16" ht="15" customHeight="1" x14ac:dyDescent="0.2">
      <c r="K48" s="39" t="s">
        <v>338</v>
      </c>
      <c r="L48" s="37">
        <f t="shared" si="28"/>
        <v>0.15684322447187202</v>
      </c>
      <c r="M48" s="37">
        <f t="shared" si="29"/>
        <v>-0.31902548719487095</v>
      </c>
      <c r="N48" s="37">
        <f t="shared" si="30"/>
        <v>1.2926397987953828</v>
      </c>
      <c r="O48" s="37">
        <f t="shared" si="31"/>
        <v>2.5639637107815587</v>
      </c>
      <c r="P48" s="37">
        <f t="shared" si="32"/>
        <v>1.396156452747765</v>
      </c>
    </row>
    <row r="49" spans="11:16" ht="15" customHeight="1" x14ac:dyDescent="0.2">
      <c r="K49" s="8" t="s">
        <v>339</v>
      </c>
      <c r="L49" s="10">
        <f t="shared" si="28"/>
        <v>0.14153266871271902</v>
      </c>
      <c r="M49" s="10">
        <f t="shared" si="29"/>
        <v>0.61645665156041862</v>
      </c>
      <c r="N49" s="10">
        <f t="shared" si="30"/>
        <v>-0.80313648793031633</v>
      </c>
      <c r="O49" s="10">
        <f t="shared" si="31"/>
        <v>-3.4099427517444187</v>
      </c>
      <c r="P49" s="10">
        <f t="shared" si="32"/>
        <v>-117.49278350515463</v>
      </c>
    </row>
    <row r="50" spans="11:16" ht="15" customHeight="1" x14ac:dyDescent="0.2">
      <c r="K50" s="8" t="s">
        <v>340</v>
      </c>
      <c r="L50" s="10">
        <f t="shared" si="28"/>
        <v>-0.1110386461312062</v>
      </c>
      <c r="M50" s="10">
        <f t="shared" si="29"/>
        <v>0.37847798443931979</v>
      </c>
      <c r="N50" s="10">
        <f t="shared" si="30"/>
        <v>-0.19338483703045545</v>
      </c>
      <c r="O50" s="10">
        <f t="shared" si="31"/>
        <v>4.0914032113294105</v>
      </c>
      <c r="P50" s="10">
        <f t="shared" si="32"/>
        <v>80.853061224489792</v>
      </c>
    </row>
    <row r="51" spans="11:16" ht="15" customHeight="1" x14ac:dyDescent="0.2">
      <c r="K51" s="6" t="s">
        <v>341</v>
      </c>
      <c r="L51" s="12">
        <f t="shared" si="28"/>
        <v>0.16598701906272031</v>
      </c>
      <c r="M51" s="12">
        <f t="shared" si="29"/>
        <v>-0.24312773836091175</v>
      </c>
      <c r="N51" s="12">
        <f t="shared" si="30"/>
        <v>1.2535400810589614</v>
      </c>
      <c r="O51" s="12">
        <f t="shared" si="31"/>
        <v>2.5292197318425824</v>
      </c>
      <c r="P51" s="12">
        <f t="shared" si="32"/>
        <v>1.2369663945795757</v>
      </c>
    </row>
    <row r="52" spans="11:16" ht="15" customHeight="1" x14ac:dyDescent="0.2">
      <c r="K52" s="8" t="s">
        <v>342</v>
      </c>
      <c r="L52" s="10">
        <f t="shared" si="28"/>
        <v>0.16540212443095598</v>
      </c>
      <c r="M52" s="10">
        <f t="shared" si="29"/>
        <v>-0.24925373134328357</v>
      </c>
      <c r="N52" s="10">
        <f t="shared" si="30"/>
        <v>0.93333333333333324</v>
      </c>
      <c r="O52" s="10">
        <f t="shared" si="31"/>
        <v>-0.14682539682539686</v>
      </c>
      <c r="P52" s="10">
        <f t="shared" si="32"/>
        <v>1.0826446280991737</v>
      </c>
    </row>
  </sheetData>
  <mergeCells count="3">
    <mergeCell ref="A1:J1"/>
    <mergeCell ref="L1:T1"/>
    <mergeCell ref="L29:T2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2" sqref="B22"/>
    </sheetView>
  </sheetViews>
  <sheetFormatPr baseColWidth="10" defaultColWidth="8.6640625" defaultRowHeight="15" x14ac:dyDescent="0.2"/>
  <cols>
    <col min="1" max="1" width="71" customWidth="1"/>
    <col min="2" max="10" width="13" customWidth="1"/>
    <col min="11" max="11" width="62" customWidth="1"/>
    <col min="12" max="20" width="12" customWidth="1"/>
  </cols>
  <sheetData>
    <row r="1" spans="1:20" ht="21.75" customHeight="1" x14ac:dyDescent="0.2">
      <c r="A1" s="256" t="s">
        <v>343</v>
      </c>
      <c r="B1" s="256"/>
      <c r="C1" s="256"/>
      <c r="D1" s="256"/>
      <c r="E1" s="256"/>
      <c r="F1" s="256"/>
      <c r="G1" s="256"/>
      <c r="H1" s="256"/>
      <c r="I1" s="256"/>
      <c r="J1" s="256"/>
      <c r="L1" s="254" t="s">
        <v>344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24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8</v>
      </c>
      <c r="H2" s="25" t="s">
        <v>9</v>
      </c>
      <c r="I2" s="25" t="s">
        <v>10</v>
      </c>
      <c r="J2" s="25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.75" customHeight="1" x14ac:dyDescent="0.2">
      <c r="A3" s="26" t="s">
        <v>345</v>
      </c>
      <c r="B3" s="27"/>
      <c r="C3" s="27"/>
      <c r="D3" s="27"/>
      <c r="E3" s="27"/>
      <c r="F3" s="27"/>
      <c r="G3" s="27"/>
      <c r="H3" s="27"/>
      <c r="I3" s="27"/>
      <c r="J3" s="27"/>
    </row>
    <row r="4" spans="1:20" ht="15" customHeight="1" x14ac:dyDescent="0.2">
      <c r="A4" s="40" t="s">
        <v>346</v>
      </c>
      <c r="B4" s="41">
        <f t="shared" ref="B4:J4" si="0">SUM(B5:B12)</f>
        <v>2756906</v>
      </c>
      <c r="C4" s="41">
        <f t="shared" si="0"/>
        <v>10219484</v>
      </c>
      <c r="D4" s="41">
        <f t="shared" si="0"/>
        <v>7060886</v>
      </c>
      <c r="E4" s="41">
        <f t="shared" si="0"/>
        <v>5799053</v>
      </c>
      <c r="F4" s="41">
        <f t="shared" si="0"/>
        <v>2999528</v>
      </c>
      <c r="G4" s="41">
        <f t="shared" si="0"/>
        <v>613051</v>
      </c>
      <c r="H4" s="41">
        <f t="shared" si="0"/>
        <v>560393</v>
      </c>
      <c r="I4" s="41">
        <f t="shared" si="0"/>
        <v>-234573</v>
      </c>
      <c r="J4" s="41">
        <f t="shared" si="0"/>
        <v>-8189</v>
      </c>
      <c r="L4" s="37">
        <f t="shared" ref="L4:T4" si="1">IFERROR(B4/B4,"")</f>
        <v>1</v>
      </c>
      <c r="M4" s="37">
        <f t="shared" si="1"/>
        <v>1</v>
      </c>
      <c r="N4" s="37">
        <f t="shared" si="1"/>
        <v>1</v>
      </c>
      <c r="O4" s="37">
        <f t="shared" si="1"/>
        <v>1</v>
      </c>
      <c r="P4" s="37">
        <f t="shared" si="1"/>
        <v>1</v>
      </c>
      <c r="Q4" s="37">
        <f t="shared" si="1"/>
        <v>1</v>
      </c>
      <c r="R4" s="37">
        <f t="shared" si="1"/>
        <v>1</v>
      </c>
      <c r="S4" s="37">
        <f t="shared" si="1"/>
        <v>1</v>
      </c>
      <c r="T4" s="37">
        <f t="shared" si="1"/>
        <v>1</v>
      </c>
    </row>
    <row r="5" spans="1:20" ht="15" customHeight="1" x14ac:dyDescent="0.2">
      <c r="A5" s="29" t="s">
        <v>347</v>
      </c>
      <c r="B5" s="30">
        <v>7668909</v>
      </c>
      <c r="C5" s="30">
        <v>6577183</v>
      </c>
      <c r="D5" s="30">
        <v>5024880</v>
      </c>
      <c r="E5" s="30">
        <v>6639008</v>
      </c>
      <c r="F5" s="30">
        <v>4598327</v>
      </c>
      <c r="G5" s="30">
        <v>2040490</v>
      </c>
      <c r="H5" s="30">
        <v>1827009</v>
      </c>
      <c r="I5" s="30">
        <v>517681</v>
      </c>
      <c r="J5" s="30">
        <v>231423</v>
      </c>
      <c r="L5" s="10">
        <f t="shared" ref="L5:T5" si="2">IFERROR(B5/B4,"")</f>
        <v>2.7817085529938272</v>
      </c>
      <c r="M5" s="10">
        <f t="shared" si="2"/>
        <v>0.64359247492339144</v>
      </c>
      <c r="N5" s="10">
        <f t="shared" si="2"/>
        <v>0.71165006771104933</v>
      </c>
      <c r="O5" s="10">
        <f t="shared" si="2"/>
        <v>1.144843477029784</v>
      </c>
      <c r="P5" s="10">
        <f t="shared" si="2"/>
        <v>1.5330168613195143</v>
      </c>
      <c r="Q5" s="10">
        <f t="shared" si="2"/>
        <v>3.328418027211439</v>
      </c>
      <c r="R5" s="10">
        <f t="shared" si="2"/>
        <v>3.2602280899297456</v>
      </c>
      <c r="S5" s="10">
        <f t="shared" si="2"/>
        <v>-2.2069078708973326</v>
      </c>
      <c r="T5" s="10">
        <f t="shared" si="2"/>
        <v>-28.260227133960189</v>
      </c>
    </row>
    <row r="6" spans="1:20" ht="15" customHeight="1" x14ac:dyDescent="0.2">
      <c r="A6" s="29" t="s">
        <v>348</v>
      </c>
      <c r="B6" s="30">
        <v>1057758</v>
      </c>
      <c r="C6" s="30">
        <v>1129742</v>
      </c>
      <c r="D6" s="30">
        <v>863108</v>
      </c>
      <c r="E6" s="30">
        <v>454087</v>
      </c>
      <c r="F6" s="30">
        <v>314584</v>
      </c>
      <c r="G6" s="30">
        <v>131218</v>
      </c>
      <c r="H6" s="30">
        <v>79631</v>
      </c>
      <c r="I6" s="30">
        <v>67565</v>
      </c>
      <c r="J6" s="30">
        <v>56715</v>
      </c>
      <c r="L6" s="10">
        <f t="shared" ref="L6:T6" si="3">IFERROR(B6/B4,"")</f>
        <v>0.38367575825944011</v>
      </c>
      <c r="M6" s="10">
        <f t="shared" si="3"/>
        <v>0.11054785153536127</v>
      </c>
      <c r="N6" s="10">
        <f t="shared" si="3"/>
        <v>0.12223791745115273</v>
      </c>
      <c r="O6" s="10">
        <f t="shared" si="3"/>
        <v>7.8303647164459436E-2</v>
      </c>
      <c r="P6" s="10">
        <f t="shared" si="3"/>
        <v>0.10487783411256704</v>
      </c>
      <c r="Q6" s="10">
        <f t="shared" si="3"/>
        <v>0.21404091992346477</v>
      </c>
      <c r="R6" s="10">
        <f t="shared" si="3"/>
        <v>0.14209849159429186</v>
      </c>
      <c r="S6" s="10">
        <f t="shared" si="3"/>
        <v>-0.2880340022082678</v>
      </c>
      <c r="T6" s="10">
        <f t="shared" si="3"/>
        <v>-6.9257540603248255</v>
      </c>
    </row>
    <row r="7" spans="1:20" ht="15" customHeight="1" x14ac:dyDescent="0.2">
      <c r="A7" s="29" t="s">
        <v>349</v>
      </c>
      <c r="B7" s="30">
        <v>957079</v>
      </c>
      <c r="C7" s="30">
        <v>1054971</v>
      </c>
      <c r="D7" s="30">
        <v>808871</v>
      </c>
      <c r="E7" s="30">
        <v>1067741</v>
      </c>
      <c r="F7" s="30">
        <v>738824</v>
      </c>
      <c r="G7" s="30">
        <v>314717</v>
      </c>
      <c r="H7" s="30">
        <v>170601</v>
      </c>
      <c r="I7" s="30">
        <v>72947</v>
      </c>
      <c r="J7" s="30">
        <v>16809</v>
      </c>
      <c r="L7" s="10">
        <f t="shared" ref="L7:T7" si="4">IFERROR(B7/B4,"")</f>
        <v>0.34715692156352085</v>
      </c>
      <c r="M7" s="10">
        <f t="shared" si="4"/>
        <v>0.10323133731605236</v>
      </c>
      <c r="N7" s="10">
        <f t="shared" si="4"/>
        <v>0.1145565868079445</v>
      </c>
      <c r="O7" s="10">
        <f t="shared" si="4"/>
        <v>0.18412333875893186</v>
      </c>
      <c r="P7" s="10">
        <f t="shared" si="4"/>
        <v>0.24631341997807654</v>
      </c>
      <c r="Q7" s="10">
        <f t="shared" si="4"/>
        <v>0.5133618573332398</v>
      </c>
      <c r="R7" s="10">
        <f t="shared" si="4"/>
        <v>0.30443099753208908</v>
      </c>
      <c r="S7" s="10">
        <f t="shared" si="4"/>
        <v>-0.31097781927161267</v>
      </c>
      <c r="T7" s="10">
        <f t="shared" si="4"/>
        <v>-2.0526315789473686</v>
      </c>
    </row>
    <row r="8" spans="1:20" ht="15" customHeight="1" x14ac:dyDescent="0.2">
      <c r="A8" s="29" t="s">
        <v>350</v>
      </c>
      <c r="B8" s="30">
        <v>-276167</v>
      </c>
      <c r="C8" s="30">
        <v>-1093944</v>
      </c>
      <c r="D8" s="30">
        <v>-835758</v>
      </c>
      <c r="E8" s="30">
        <v>-768781</v>
      </c>
      <c r="F8" s="30">
        <v>-225960</v>
      </c>
      <c r="G8" s="30">
        <v>297741</v>
      </c>
      <c r="H8" s="30">
        <v>180687</v>
      </c>
      <c r="I8" s="30">
        <v>68466</v>
      </c>
      <c r="J8" s="30">
        <v>43740</v>
      </c>
      <c r="L8" s="10">
        <f t="shared" ref="L8:T8" si="5">IFERROR(B8/B4,"")</f>
        <v>-0.10017280240965779</v>
      </c>
      <c r="M8" s="10">
        <f t="shared" si="5"/>
        <v>-0.10704493494974893</v>
      </c>
      <c r="N8" s="10">
        <f t="shared" si="5"/>
        <v>-0.11836446587581219</v>
      </c>
      <c r="O8" s="10">
        <f t="shared" si="5"/>
        <v>-0.1325700937722073</v>
      </c>
      <c r="P8" s="10">
        <f t="shared" si="5"/>
        <v>-7.5331852211414599E-2</v>
      </c>
      <c r="Q8" s="10">
        <f t="shared" si="5"/>
        <v>0.48567084957042728</v>
      </c>
      <c r="R8" s="10">
        <f t="shared" si="5"/>
        <v>0.32242908101992707</v>
      </c>
      <c r="S8" s="10">
        <f t="shared" si="5"/>
        <v>-0.29187502397974191</v>
      </c>
      <c r="T8" s="10">
        <f t="shared" si="5"/>
        <v>-5.3413115154475515</v>
      </c>
    </row>
    <row r="9" spans="1:20" ht="15" customHeight="1" x14ac:dyDescent="0.2">
      <c r="A9" s="29" t="s">
        <v>351</v>
      </c>
      <c r="B9" s="30">
        <v>5063860</v>
      </c>
      <c r="C9" s="30">
        <v>1342932</v>
      </c>
      <c r="D9" s="30">
        <v>577932</v>
      </c>
      <c r="E9" s="30">
        <v>-316985</v>
      </c>
      <c r="F9" s="30">
        <v>-132366</v>
      </c>
      <c r="G9" s="30">
        <v>659724</v>
      </c>
      <c r="H9" s="30">
        <v>0</v>
      </c>
      <c r="I9" s="30">
        <v>0</v>
      </c>
      <c r="J9" s="30">
        <v>0</v>
      </c>
      <c r="L9" s="10">
        <f t="shared" ref="L9:T9" si="6">IFERROR(B9/B4,"")</f>
        <v>1.8367909533368203</v>
      </c>
      <c r="M9" s="10">
        <f t="shared" si="6"/>
        <v>0.13140898307585785</v>
      </c>
      <c r="N9" s="10">
        <f t="shared" si="6"/>
        <v>8.184978485702786E-2</v>
      </c>
      <c r="O9" s="10">
        <f t="shared" si="6"/>
        <v>-5.4661511112245396E-2</v>
      </c>
      <c r="P9" s="10">
        <f t="shared" si="6"/>
        <v>-4.412894295369138E-2</v>
      </c>
      <c r="Q9" s="10">
        <f t="shared" si="6"/>
        <v>1.0761323283054753</v>
      </c>
      <c r="R9" s="10">
        <f t="shared" si="6"/>
        <v>0</v>
      </c>
      <c r="S9" s="10">
        <f t="shared" si="6"/>
        <v>0</v>
      </c>
      <c r="T9" s="10">
        <f t="shared" si="6"/>
        <v>0</v>
      </c>
    </row>
    <row r="10" spans="1:20" ht="15" customHeight="1" x14ac:dyDescent="0.2">
      <c r="A10" s="29" t="s">
        <v>352</v>
      </c>
      <c r="B10" s="30">
        <v>-4517642</v>
      </c>
      <c r="C10" s="30">
        <v>-81631</v>
      </c>
      <c r="D10" s="30">
        <v>-62946</v>
      </c>
      <c r="E10" s="30">
        <v>-8977</v>
      </c>
      <c r="F10" s="30">
        <v>-16020</v>
      </c>
      <c r="G10" s="30">
        <v>-255147</v>
      </c>
      <c r="H10" s="30">
        <v>-134451</v>
      </c>
      <c r="I10" s="30">
        <v>69750</v>
      </c>
      <c r="J10" s="30">
        <v>-37860</v>
      </c>
      <c r="L10" s="10">
        <f t="shared" ref="L10:T10" si="7">IFERROR(B10/B4,"")</f>
        <v>-1.6386637774374606</v>
      </c>
      <c r="M10" s="10">
        <f t="shared" si="7"/>
        <v>-7.9877809877680721E-3</v>
      </c>
      <c r="N10" s="10">
        <f t="shared" si="7"/>
        <v>-8.9147452600141109E-3</v>
      </c>
      <c r="O10" s="10">
        <f t="shared" si="7"/>
        <v>-1.5480113735811692E-3</v>
      </c>
      <c r="P10" s="10">
        <f t="shared" si="7"/>
        <v>-5.3408402922059742E-3</v>
      </c>
      <c r="Q10" s="10">
        <f t="shared" si="7"/>
        <v>-0.4161921275717681</v>
      </c>
      <c r="R10" s="10">
        <f t="shared" si="7"/>
        <v>-0.2399226971072087</v>
      </c>
      <c r="S10" s="10">
        <f t="shared" si="7"/>
        <v>-0.2973487997339847</v>
      </c>
      <c r="T10" s="10">
        <f t="shared" si="7"/>
        <v>4.6232751251679085</v>
      </c>
    </row>
    <row r="11" spans="1:20" ht="15" customHeight="1" x14ac:dyDescent="0.2">
      <c r="A11" s="29" t="s">
        <v>353</v>
      </c>
      <c r="B11" s="30">
        <v>-6928778</v>
      </c>
      <c r="C11" s="30">
        <v>1290231</v>
      </c>
      <c r="D11" s="30">
        <v>684799</v>
      </c>
      <c r="E11" s="30">
        <v>-1267040</v>
      </c>
      <c r="F11" s="30">
        <v>-2277861</v>
      </c>
      <c r="G11" s="30">
        <v>-2575692</v>
      </c>
      <c r="H11" s="30">
        <v>-1563084</v>
      </c>
      <c r="I11" s="30">
        <v>-1030982</v>
      </c>
      <c r="J11" s="30">
        <v>-319016</v>
      </c>
      <c r="L11" s="10">
        <f t="shared" ref="L11:T11" si="8">IFERROR(B11/B4,"")</f>
        <v>-2.5132441947603583</v>
      </c>
      <c r="M11" s="10">
        <f t="shared" si="8"/>
        <v>0.1262520690868541</v>
      </c>
      <c r="N11" s="10">
        <f t="shared" si="8"/>
        <v>9.6984854308651919E-2</v>
      </c>
      <c r="O11" s="10">
        <f t="shared" si="8"/>
        <v>-0.21849084669514143</v>
      </c>
      <c r="P11" s="10">
        <f t="shared" si="8"/>
        <v>-0.75940647995284594</v>
      </c>
      <c r="Q11" s="10">
        <f t="shared" si="8"/>
        <v>-4.2014318547722782</v>
      </c>
      <c r="R11" s="10">
        <f t="shared" si="8"/>
        <v>-2.7892639629688452</v>
      </c>
      <c r="S11" s="10">
        <f t="shared" si="8"/>
        <v>4.3951435160909398</v>
      </c>
      <c r="T11" s="10">
        <f t="shared" si="8"/>
        <v>38.956649163512026</v>
      </c>
    </row>
    <row r="12" spans="1:20" ht="15" customHeight="1" x14ac:dyDescent="0.2">
      <c r="A12" s="29" t="s">
        <v>354</v>
      </c>
      <c r="B12" s="30">
        <v>-268113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L12" s="10">
        <f t="shared" ref="L12:T12" si="9">IFERROR(B12/B4,"")</f>
        <v>-9.7251411546131789E-2</v>
      </c>
      <c r="M12" s="10">
        <f t="shared" si="9"/>
        <v>0</v>
      </c>
      <c r="N12" s="10">
        <f t="shared" si="9"/>
        <v>0</v>
      </c>
      <c r="O12" s="10">
        <f t="shared" si="9"/>
        <v>0</v>
      </c>
      <c r="P12" s="10">
        <f t="shared" si="9"/>
        <v>0</v>
      </c>
      <c r="Q12" s="10">
        <f t="shared" si="9"/>
        <v>0</v>
      </c>
      <c r="R12" s="10">
        <f t="shared" si="9"/>
        <v>0</v>
      </c>
      <c r="S12" s="10">
        <f t="shared" si="9"/>
        <v>0</v>
      </c>
      <c r="T12" s="10">
        <f t="shared" si="9"/>
        <v>0</v>
      </c>
    </row>
    <row r="13" spans="1:20" ht="15.75" customHeight="1" x14ac:dyDescent="0.2">
      <c r="A13" s="26" t="s">
        <v>355</v>
      </c>
      <c r="B13" s="27"/>
      <c r="C13" s="27"/>
      <c r="D13" s="27"/>
      <c r="E13" s="27"/>
      <c r="F13" s="27"/>
      <c r="G13" s="27"/>
      <c r="H13" s="27"/>
      <c r="I13" s="27"/>
      <c r="J13" s="27"/>
    </row>
    <row r="14" spans="1:20" ht="15" customHeight="1" x14ac:dyDescent="0.2">
      <c r="A14" s="40" t="s">
        <v>356</v>
      </c>
      <c r="B14" s="41">
        <f t="shared" ref="B14:J14" si="10">SUM(B15:B17)</f>
        <v>-6993637</v>
      </c>
      <c r="C14" s="41">
        <f t="shared" si="10"/>
        <v>-5478621</v>
      </c>
      <c r="D14" s="41">
        <f t="shared" si="10"/>
        <v>-4185594</v>
      </c>
      <c r="E14" s="41">
        <f t="shared" si="10"/>
        <v>-3899946</v>
      </c>
      <c r="F14" s="41">
        <f t="shared" si="10"/>
        <v>-2034351</v>
      </c>
      <c r="G14" s="41">
        <f t="shared" si="10"/>
        <v>-312939</v>
      </c>
      <c r="H14" s="41">
        <f t="shared" si="10"/>
        <v>-189909</v>
      </c>
      <c r="I14" s="41">
        <f t="shared" si="10"/>
        <v>-185945</v>
      </c>
      <c r="J14" s="41">
        <f t="shared" si="10"/>
        <v>-143683</v>
      </c>
      <c r="L14" s="37">
        <f t="shared" ref="L14:T14" si="11">IFERROR(B14/B4,"")</f>
        <v>-2.5367702054404466</v>
      </c>
      <c r="M14" s="37">
        <f t="shared" si="11"/>
        <v>-0.53609565805866521</v>
      </c>
      <c r="N14" s="37">
        <f t="shared" si="11"/>
        <v>-0.59278594782581107</v>
      </c>
      <c r="O14" s="37">
        <f t="shared" si="11"/>
        <v>-0.67251428810876535</v>
      </c>
      <c r="P14" s="37">
        <f t="shared" si="11"/>
        <v>-0.67822370719659897</v>
      </c>
      <c r="Q14" s="37">
        <f t="shared" si="11"/>
        <v>-0.51046160922990091</v>
      </c>
      <c r="R14" s="37">
        <f t="shared" si="11"/>
        <v>-0.3388853893606808</v>
      </c>
      <c r="S14" s="37">
        <f t="shared" si="11"/>
        <v>0.79269566403635539</v>
      </c>
      <c r="T14" s="37">
        <f t="shared" si="11"/>
        <v>17.545854194651362</v>
      </c>
    </row>
    <row r="15" spans="1:20" ht="15" customHeight="1" x14ac:dyDescent="0.2">
      <c r="A15" s="29" t="s">
        <v>357</v>
      </c>
      <c r="B15" s="30">
        <v>-4557006</v>
      </c>
      <c r="C15" s="30">
        <v>-4847161</v>
      </c>
      <c r="D15" s="30">
        <v>-3703167</v>
      </c>
      <c r="E15" s="30">
        <v>-2656743</v>
      </c>
      <c r="F15" s="30">
        <v>-1840120</v>
      </c>
      <c r="G15" s="30">
        <v>-404755</v>
      </c>
      <c r="H15" s="30">
        <v>-245629</v>
      </c>
      <c r="I15" s="30">
        <v>-193170</v>
      </c>
      <c r="J15" s="30">
        <v>-143798</v>
      </c>
      <c r="L15" s="10">
        <f t="shared" ref="L15:T15" si="12">IFERROR(B15/B4,"")</f>
        <v>-1.6529421024873536</v>
      </c>
      <c r="M15" s="10">
        <f t="shared" si="12"/>
        <v>-0.47430584557889616</v>
      </c>
      <c r="N15" s="10">
        <f t="shared" si="12"/>
        <v>-0.52446208591952903</v>
      </c>
      <c r="O15" s="10">
        <f t="shared" si="12"/>
        <v>-0.45813394014505471</v>
      </c>
      <c r="P15" s="10">
        <f t="shared" si="12"/>
        <v>-0.61346985259014086</v>
      </c>
      <c r="Q15" s="10">
        <f t="shared" si="12"/>
        <v>-0.66023055178117318</v>
      </c>
      <c r="R15" s="10">
        <f t="shared" si="12"/>
        <v>-0.43831561065181041</v>
      </c>
      <c r="S15" s="10">
        <f t="shared" si="12"/>
        <v>0.82349631031704418</v>
      </c>
      <c r="T15" s="10">
        <f t="shared" si="12"/>
        <v>17.559897423372817</v>
      </c>
    </row>
    <row r="16" spans="1:20" ht="15" customHeight="1" x14ac:dyDescent="0.2">
      <c r="A16" s="29" t="s">
        <v>358</v>
      </c>
      <c r="B16" s="30">
        <v>2129202</v>
      </c>
      <c r="C16" s="30">
        <v>1711331</v>
      </c>
      <c r="D16" s="30">
        <v>1307434</v>
      </c>
      <c r="E16" s="30">
        <v>27035</v>
      </c>
      <c r="F16" s="30">
        <v>18725</v>
      </c>
      <c r="G16" s="30">
        <v>131115</v>
      </c>
      <c r="H16" s="30">
        <v>79569</v>
      </c>
      <c r="I16" s="30">
        <v>7225</v>
      </c>
      <c r="J16" s="30">
        <v>4421</v>
      </c>
      <c r="L16" s="10">
        <f t="shared" ref="L16:T16" si="13">IFERROR(B16/B4,"")</f>
        <v>0.77231577717920019</v>
      </c>
      <c r="M16" s="10">
        <f t="shared" si="13"/>
        <v>0.16745767203119061</v>
      </c>
      <c r="N16" s="10">
        <f t="shared" si="13"/>
        <v>0.18516571433103438</v>
      </c>
      <c r="O16" s="10">
        <f t="shared" si="13"/>
        <v>4.6619680834094806E-3</v>
      </c>
      <c r="P16" s="10">
        <f t="shared" si="13"/>
        <v>6.2426488434180307E-3</v>
      </c>
      <c r="Q16" s="10">
        <f t="shared" si="13"/>
        <v>0.21387290780049295</v>
      </c>
      <c r="R16" s="10">
        <f t="shared" si="13"/>
        <v>0.14198785495179275</v>
      </c>
      <c r="S16" s="10">
        <f t="shared" si="13"/>
        <v>-3.0800646280688741E-2</v>
      </c>
      <c r="T16" s="10">
        <f t="shared" si="13"/>
        <v>-0.53987055806569784</v>
      </c>
    </row>
    <row r="17" spans="1:20" ht="15" customHeight="1" x14ac:dyDescent="0.2">
      <c r="A17" s="29" t="s">
        <v>359</v>
      </c>
      <c r="B17" s="30">
        <v>-4565833</v>
      </c>
      <c r="C17" s="30">
        <v>-2342791</v>
      </c>
      <c r="D17" s="30">
        <v>-1789861</v>
      </c>
      <c r="E17" s="30">
        <v>-1270238</v>
      </c>
      <c r="F17" s="30">
        <v>-212956</v>
      </c>
      <c r="G17" s="30">
        <v>-39299</v>
      </c>
      <c r="H17" s="30">
        <v>-23849</v>
      </c>
      <c r="I17" s="30">
        <v>0</v>
      </c>
      <c r="J17" s="30">
        <v>-4306</v>
      </c>
      <c r="L17" s="10">
        <f t="shared" ref="L17:T17" si="14">IFERROR(B17/B4,"")</f>
        <v>-1.6561438801322932</v>
      </c>
      <c r="M17" s="10">
        <f t="shared" si="14"/>
        <v>-0.22924748451095966</v>
      </c>
      <c r="N17" s="10">
        <f t="shared" si="14"/>
        <v>-0.25348957623731638</v>
      </c>
      <c r="O17" s="10">
        <f t="shared" si="14"/>
        <v>-0.2190423160471201</v>
      </c>
      <c r="P17" s="10">
        <f t="shared" si="14"/>
        <v>-7.0996503449876111E-2</v>
      </c>
      <c r="Q17" s="10">
        <f t="shared" si="14"/>
        <v>-6.4103965249220698E-2</v>
      </c>
      <c r="R17" s="10">
        <f t="shared" si="14"/>
        <v>-4.255763366066314E-2</v>
      </c>
      <c r="S17" s="10">
        <f t="shared" si="14"/>
        <v>0</v>
      </c>
      <c r="T17" s="10">
        <f t="shared" si="14"/>
        <v>0.52582732934424226</v>
      </c>
    </row>
    <row r="18" spans="1:20" ht="15.75" customHeight="1" x14ac:dyDescent="0.2">
      <c r="A18" s="26" t="s">
        <v>360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20" ht="15" customHeight="1" x14ac:dyDescent="0.2">
      <c r="A19" s="40" t="s">
        <v>361</v>
      </c>
      <c r="B19" s="41">
        <f t="shared" ref="B19:J19" si="15">SUM(B20:B23)</f>
        <v>844128</v>
      </c>
      <c r="C19" s="41">
        <f t="shared" si="15"/>
        <v>-832619</v>
      </c>
      <c r="D19" s="41">
        <f t="shared" si="15"/>
        <v>-636110</v>
      </c>
      <c r="E19" s="41">
        <f t="shared" si="15"/>
        <v>189587</v>
      </c>
      <c r="F19" s="41">
        <f t="shared" si="15"/>
        <v>481499</v>
      </c>
      <c r="G19" s="41">
        <f t="shared" si="15"/>
        <v>-857660</v>
      </c>
      <c r="H19" s="41">
        <f t="shared" si="15"/>
        <v>-520479</v>
      </c>
      <c r="I19" s="41">
        <f t="shared" si="15"/>
        <v>488916</v>
      </c>
      <c r="J19" s="41">
        <f t="shared" si="15"/>
        <v>282564</v>
      </c>
      <c r="L19" s="37">
        <f t="shared" ref="L19:T19" si="16">IFERROR(B19/B4,"")</f>
        <v>0.30618671800924657</v>
      </c>
      <c r="M19" s="37">
        <f t="shared" si="16"/>
        <v>-8.1473683015698253E-2</v>
      </c>
      <c r="N19" s="37">
        <f t="shared" si="16"/>
        <v>-9.008926075282904E-2</v>
      </c>
      <c r="O19" s="37">
        <f t="shared" si="16"/>
        <v>3.2692751730325625E-2</v>
      </c>
      <c r="P19" s="37">
        <f t="shared" si="16"/>
        <v>0.16052492258782047</v>
      </c>
      <c r="Q19" s="37">
        <f t="shared" si="16"/>
        <v>-1.3990026930875246</v>
      </c>
      <c r="R19" s="37">
        <f t="shared" si="16"/>
        <v>-0.9287749846982386</v>
      </c>
      <c r="S19" s="37">
        <f t="shared" si="16"/>
        <v>-2.0842807995805144</v>
      </c>
      <c r="T19" s="37">
        <f t="shared" si="16"/>
        <v>-34.505312003907683</v>
      </c>
    </row>
    <row r="20" spans="1:20" ht="15" customHeight="1" x14ac:dyDescent="0.2">
      <c r="A20" s="29" t="s">
        <v>362</v>
      </c>
      <c r="B20" s="30">
        <v>3439575</v>
      </c>
      <c r="C20" s="30">
        <v>2833804</v>
      </c>
      <c r="D20" s="30">
        <v>277940</v>
      </c>
      <c r="E20" s="30">
        <v>-1441283</v>
      </c>
      <c r="F20" s="30">
        <v>-998265</v>
      </c>
      <c r="G20" s="30">
        <v>97474</v>
      </c>
      <c r="H20" s="30">
        <v>59153</v>
      </c>
      <c r="I20" s="30">
        <v>530217</v>
      </c>
      <c r="J20" s="30">
        <v>327497</v>
      </c>
      <c r="L20" s="10">
        <f t="shared" ref="L20:T20" si="17">IFERROR(B20/B4,"")</f>
        <v>1.2476214277889779</v>
      </c>
      <c r="M20" s="10">
        <f t="shared" si="17"/>
        <v>0.27729423520796159</v>
      </c>
      <c r="N20" s="10">
        <f t="shared" si="17"/>
        <v>3.936333202377152E-2</v>
      </c>
      <c r="O20" s="10">
        <f t="shared" si="17"/>
        <v>-0.24853764916444115</v>
      </c>
      <c r="P20" s="10">
        <f t="shared" si="17"/>
        <v>-0.33280736169157282</v>
      </c>
      <c r="Q20" s="10">
        <f t="shared" si="17"/>
        <v>0.15899819101510315</v>
      </c>
      <c r="R20" s="10">
        <f t="shared" si="17"/>
        <v>0.10555627925402351</v>
      </c>
      <c r="S20" s="10">
        <f t="shared" si="17"/>
        <v>-2.2603496566100958</v>
      </c>
      <c r="T20" s="10">
        <f t="shared" si="17"/>
        <v>-39.992306752961291</v>
      </c>
    </row>
    <row r="21" spans="1:20" ht="15" customHeight="1" x14ac:dyDescent="0.2">
      <c r="A21" s="29" t="s">
        <v>363</v>
      </c>
      <c r="B21" s="30">
        <v>-970181</v>
      </c>
      <c r="C21" s="30">
        <v>-1235001</v>
      </c>
      <c r="D21" s="30">
        <v>-943524</v>
      </c>
      <c r="E21" s="30">
        <v>-399782</v>
      </c>
      <c r="F21" s="30">
        <v>-276898</v>
      </c>
      <c r="G21" s="30">
        <v>-411740</v>
      </c>
      <c r="H21" s="30">
        <v>-249868</v>
      </c>
      <c r="I21" s="30">
        <v>-47549</v>
      </c>
      <c r="J21" s="30">
        <v>-44933</v>
      </c>
      <c r="L21" s="10">
        <f t="shared" ref="L21:T21" si="18">IFERROR(B21/B4,"")</f>
        <v>-0.35190935055457095</v>
      </c>
      <c r="M21" s="10">
        <f t="shared" si="18"/>
        <v>-0.12084768663466766</v>
      </c>
      <c r="N21" s="10">
        <f t="shared" si="18"/>
        <v>-0.13362685645965677</v>
      </c>
      <c r="O21" s="10">
        <f t="shared" si="18"/>
        <v>-6.8939187139693325E-2</v>
      </c>
      <c r="P21" s="10">
        <f t="shared" si="18"/>
        <v>-9.2313857380227821E-2</v>
      </c>
      <c r="Q21" s="10">
        <f t="shared" si="18"/>
        <v>-0.67162438361571875</v>
      </c>
      <c r="R21" s="10">
        <f t="shared" si="18"/>
        <v>-0.44587994496719269</v>
      </c>
      <c r="S21" s="10">
        <f t="shared" si="18"/>
        <v>0.20270448858137979</v>
      </c>
      <c r="T21" s="10">
        <f t="shared" si="18"/>
        <v>5.4869947490536086</v>
      </c>
    </row>
    <row r="22" spans="1:20" ht="15" customHeight="1" x14ac:dyDescent="0.2">
      <c r="A22" s="29" t="s">
        <v>364</v>
      </c>
      <c r="B22" s="30">
        <v>-1625266</v>
      </c>
      <c r="C22" s="30">
        <v>-2431422</v>
      </c>
      <c r="D22" s="30">
        <v>-1857574</v>
      </c>
      <c r="E22" s="30">
        <v>-1116260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L22" s="10">
        <f t="shared" ref="L22:T22" si="19">IFERROR(B22/B4,"")</f>
        <v>-0.58952535922516036</v>
      </c>
      <c r="M22" s="10">
        <f t="shared" si="19"/>
        <v>-0.23792023158899217</v>
      </c>
      <c r="N22" s="10">
        <f t="shared" si="19"/>
        <v>-0.26307944923625731</v>
      </c>
      <c r="O22" s="10">
        <f t="shared" si="19"/>
        <v>-0.19249004966845448</v>
      </c>
      <c r="P22" s="10">
        <f t="shared" si="19"/>
        <v>0</v>
      </c>
      <c r="Q22" s="10">
        <f t="shared" si="19"/>
        <v>0</v>
      </c>
      <c r="R22" s="10">
        <f t="shared" si="19"/>
        <v>0</v>
      </c>
      <c r="S22" s="10">
        <f t="shared" si="19"/>
        <v>0</v>
      </c>
      <c r="T22" s="10">
        <f t="shared" si="19"/>
        <v>0</v>
      </c>
    </row>
    <row r="23" spans="1:20" ht="15" customHeight="1" x14ac:dyDescent="0.2">
      <c r="A23" s="29" t="s">
        <v>365</v>
      </c>
      <c r="B23" s="30">
        <v>0</v>
      </c>
      <c r="C23" s="30">
        <v>0</v>
      </c>
      <c r="D23" s="30">
        <v>1887048</v>
      </c>
      <c r="E23" s="30">
        <v>3146912</v>
      </c>
      <c r="F23" s="30">
        <v>1756662</v>
      </c>
      <c r="G23" s="30">
        <v>-543394</v>
      </c>
      <c r="H23" s="30">
        <v>-329764</v>
      </c>
      <c r="I23" s="30">
        <v>6248</v>
      </c>
      <c r="J23" s="30">
        <v>0</v>
      </c>
      <c r="L23" s="10">
        <f t="shared" ref="L23:T23" si="20">IFERROR(B23/B4,"")</f>
        <v>0</v>
      </c>
      <c r="M23" s="10">
        <f t="shared" si="20"/>
        <v>0</v>
      </c>
      <c r="N23" s="10">
        <f t="shared" si="20"/>
        <v>0.26725371291931355</v>
      </c>
      <c r="O23" s="10">
        <f t="shared" si="20"/>
        <v>0.54265963770291459</v>
      </c>
      <c r="P23" s="10">
        <f t="shared" si="20"/>
        <v>0.58564614165962114</v>
      </c>
      <c r="Q23" s="10">
        <f t="shared" si="20"/>
        <v>-0.88637650048690897</v>
      </c>
      <c r="R23" s="10">
        <f t="shared" si="20"/>
        <v>-0.58845131898506942</v>
      </c>
      <c r="S23" s="10">
        <f t="shared" si="20"/>
        <v>-2.6635631551798374E-2</v>
      </c>
      <c r="T23" s="10">
        <f t="shared" si="20"/>
        <v>0</v>
      </c>
    </row>
    <row r="24" spans="1:20" ht="15" customHeight="1" x14ac:dyDescent="0.2">
      <c r="A24" s="40" t="s">
        <v>366</v>
      </c>
      <c r="B24" s="41">
        <f t="shared" ref="B24:J24" si="21">B4+B14+B19</f>
        <v>-3392603</v>
      </c>
      <c r="C24" s="41">
        <f t="shared" si="21"/>
        <v>3908244</v>
      </c>
      <c r="D24" s="41">
        <f t="shared" si="21"/>
        <v>2239182</v>
      </c>
      <c r="E24" s="41">
        <f t="shared" si="21"/>
        <v>2088694</v>
      </c>
      <c r="F24" s="41">
        <f t="shared" si="21"/>
        <v>1446676</v>
      </c>
      <c r="G24" s="41">
        <f t="shared" si="21"/>
        <v>-557548</v>
      </c>
      <c r="H24" s="41">
        <f t="shared" si="21"/>
        <v>-149995</v>
      </c>
      <c r="I24" s="41">
        <f t="shared" si="21"/>
        <v>68398</v>
      </c>
      <c r="J24" s="41">
        <f t="shared" si="21"/>
        <v>130692</v>
      </c>
      <c r="L24" s="37">
        <f t="shared" ref="L24:T24" si="22">IFERROR(B24/B4,"")</f>
        <v>-1.2305834874312001</v>
      </c>
      <c r="M24" s="37">
        <f t="shared" si="22"/>
        <v>0.38243065892563655</v>
      </c>
      <c r="N24" s="37">
        <f t="shared" si="22"/>
        <v>0.31712479142135985</v>
      </c>
      <c r="O24" s="37">
        <f t="shared" si="22"/>
        <v>0.36017846362156025</v>
      </c>
      <c r="P24" s="37">
        <f t="shared" si="22"/>
        <v>0.48230121539122156</v>
      </c>
      <c r="Q24" s="37">
        <f t="shared" si="22"/>
        <v>-0.90946430231742548</v>
      </c>
      <c r="R24" s="37">
        <f t="shared" si="22"/>
        <v>-0.26766037405891935</v>
      </c>
      <c r="S24" s="37">
        <f t="shared" si="22"/>
        <v>-0.29158513554415894</v>
      </c>
      <c r="T24" s="37">
        <f t="shared" si="22"/>
        <v>-15.959457809256319</v>
      </c>
    </row>
    <row r="25" spans="1:20" ht="15" customHeight="1" x14ac:dyDescent="0.2">
      <c r="A25" s="29" t="s">
        <v>367</v>
      </c>
      <c r="B25" s="30">
        <v>6110484</v>
      </c>
      <c r="C25" s="30">
        <v>3179567</v>
      </c>
      <c r="D25" s="30">
        <v>2429147</v>
      </c>
      <c r="E25" s="30">
        <v>340453</v>
      </c>
      <c r="F25" s="30">
        <v>235806</v>
      </c>
      <c r="G25" s="30">
        <v>793354</v>
      </c>
      <c r="H25" s="30">
        <v>293096</v>
      </c>
      <c r="I25" s="30">
        <v>224697</v>
      </c>
      <c r="J25" s="30">
        <v>94005</v>
      </c>
      <c r="L25" s="10">
        <f t="shared" ref="L25:T25" si="23">IFERROR(B25/B4,"")</f>
        <v>2.2164281263126129</v>
      </c>
      <c r="M25" s="10">
        <f t="shared" si="23"/>
        <v>0.31112793953197637</v>
      </c>
      <c r="N25" s="10">
        <f t="shared" si="23"/>
        <v>0.34402863889885771</v>
      </c>
      <c r="O25" s="10">
        <f t="shared" si="23"/>
        <v>5.8708378764601735E-2</v>
      </c>
      <c r="P25" s="10">
        <f t="shared" si="23"/>
        <v>7.8614368660669273E-2</v>
      </c>
      <c r="Q25" s="10">
        <f t="shared" si="23"/>
        <v>1.2941076680406687</v>
      </c>
      <c r="R25" s="10">
        <f t="shared" si="23"/>
        <v>0.52301866725672874</v>
      </c>
      <c r="S25" s="10">
        <f t="shared" si="23"/>
        <v>-0.95789796779680525</v>
      </c>
      <c r="T25" s="10">
        <f t="shared" si="23"/>
        <v>-11.479423617047258</v>
      </c>
    </row>
    <row r="26" spans="1:20" ht="15" customHeight="1" x14ac:dyDescent="0.2">
      <c r="A26" s="29" t="s">
        <v>368</v>
      </c>
      <c r="B26" s="30">
        <v>-1442156</v>
      </c>
      <c r="C26" s="30">
        <v>-977327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L26" s="10">
        <f t="shared" ref="L26:T26" si="24">IFERROR(B26/B4,"")</f>
        <v>-0.52310670004708182</v>
      </c>
      <c r="M26" s="10">
        <f t="shared" si="24"/>
        <v>-9.5633693442839188E-2</v>
      </c>
      <c r="N26" s="10">
        <f t="shared" si="24"/>
        <v>0</v>
      </c>
      <c r="O26" s="10">
        <f t="shared" si="24"/>
        <v>0</v>
      </c>
      <c r="P26" s="10">
        <f t="shared" si="24"/>
        <v>0</v>
      </c>
      <c r="Q26" s="10">
        <f t="shared" si="24"/>
        <v>0</v>
      </c>
      <c r="R26" s="10">
        <f t="shared" si="24"/>
        <v>0</v>
      </c>
      <c r="S26" s="10">
        <f t="shared" si="24"/>
        <v>0</v>
      </c>
      <c r="T26" s="10">
        <f t="shared" si="24"/>
        <v>0</v>
      </c>
    </row>
    <row r="27" spans="1:20" ht="15" customHeight="1" x14ac:dyDescent="0.2">
      <c r="A27" s="40" t="s">
        <v>369</v>
      </c>
      <c r="B27" s="41">
        <f t="shared" ref="B27:J27" si="25">B25+B24+B26</f>
        <v>1275725</v>
      </c>
      <c r="C27" s="41">
        <f t="shared" si="25"/>
        <v>6110484</v>
      </c>
      <c r="D27" s="41">
        <f t="shared" si="25"/>
        <v>4668329</v>
      </c>
      <c r="E27" s="41">
        <f t="shared" si="25"/>
        <v>2429147</v>
      </c>
      <c r="F27" s="41">
        <f t="shared" si="25"/>
        <v>1682482</v>
      </c>
      <c r="G27" s="41">
        <f t="shared" si="25"/>
        <v>235806</v>
      </c>
      <c r="H27" s="41">
        <f t="shared" si="25"/>
        <v>143101</v>
      </c>
      <c r="I27" s="41">
        <f t="shared" si="25"/>
        <v>293095</v>
      </c>
      <c r="J27" s="41">
        <f t="shared" si="25"/>
        <v>224697</v>
      </c>
      <c r="L27" s="37">
        <f t="shared" ref="L27:T27" si="26">IFERROR(B27/B4,"")</f>
        <v>0.46273793883433095</v>
      </c>
      <c r="M27" s="37">
        <f t="shared" si="26"/>
        <v>0.59792490501477369</v>
      </c>
      <c r="N27" s="37">
        <f t="shared" si="26"/>
        <v>0.66115343032021756</v>
      </c>
      <c r="O27" s="37">
        <f t="shared" si="26"/>
        <v>0.41888684238616203</v>
      </c>
      <c r="P27" s="37">
        <f t="shared" si="26"/>
        <v>0.56091558405189079</v>
      </c>
      <c r="Q27" s="37">
        <f t="shared" si="26"/>
        <v>0.38464336572324326</v>
      </c>
      <c r="R27" s="37">
        <f t="shared" si="26"/>
        <v>0.25535829319780939</v>
      </c>
      <c r="S27" s="37">
        <f t="shared" si="26"/>
        <v>-1.2494831033409641</v>
      </c>
      <c r="T27" s="37">
        <f t="shared" si="26"/>
        <v>-27.438881426303578</v>
      </c>
    </row>
    <row r="28" spans="1:20" ht="15" customHeight="1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spans="1:20" ht="15" customHeight="1" x14ac:dyDescent="0.2">
      <c r="A29" s="33"/>
      <c r="B29" s="34"/>
      <c r="C29" s="34"/>
      <c r="D29" s="34"/>
      <c r="E29" s="34"/>
      <c r="F29" s="34"/>
      <c r="G29" s="34"/>
      <c r="H29" s="34"/>
      <c r="I29" s="34"/>
      <c r="J29" s="34"/>
    </row>
    <row r="32" spans="1:20" ht="21.75" customHeight="1" x14ac:dyDescent="0.2">
      <c r="L32" s="254" t="s">
        <v>314</v>
      </c>
      <c r="M32" s="254"/>
      <c r="N32" s="254"/>
      <c r="O32" s="254"/>
      <c r="P32" s="254"/>
      <c r="Q32" s="254"/>
      <c r="R32" s="254"/>
      <c r="S32" s="254"/>
      <c r="T32" s="254"/>
    </row>
    <row r="33" spans="11:16" ht="15" customHeight="1" x14ac:dyDescent="0.2">
      <c r="L33" s="2" t="s">
        <v>315</v>
      </c>
      <c r="M33" s="2" t="s">
        <v>316</v>
      </c>
      <c r="N33" s="2" t="s">
        <v>317</v>
      </c>
      <c r="O33" s="2" t="s">
        <v>318</v>
      </c>
      <c r="P33" s="2" t="s">
        <v>319</v>
      </c>
    </row>
    <row r="34" spans="11:16" ht="15" customHeight="1" x14ac:dyDescent="0.2">
      <c r="K34" s="39" t="s">
        <v>346</v>
      </c>
      <c r="L34" s="37">
        <f t="shared" ref="L34:L42" si="27">IFERROR((B4-C4)/ABS(C4),"-")</f>
        <v>-0.73023041085048912</v>
      </c>
      <c r="M34" s="37">
        <f t="shared" ref="M34:M42" si="28">IFERROR((D4-E4)/ABS(E4),"-")</f>
        <v>0.21759294146820179</v>
      </c>
      <c r="N34" s="37">
        <f t="shared" ref="N34:N42" si="29">IFERROR((F4-G4)/ABS(G4),"-")</f>
        <v>3.8927870601303969</v>
      </c>
      <c r="O34" s="37">
        <f t="shared" ref="O34:O42" si="30">IFERROR((H4-I4)/ABS(I4),"-")</f>
        <v>3.3889919129652601</v>
      </c>
      <c r="P34" s="37">
        <f t="shared" ref="P34:P42" si="31">IFERROR((I4-J4)/ABS(J4),"-")</f>
        <v>-27.644889485895714</v>
      </c>
    </row>
    <row r="35" spans="11:16" ht="15" customHeight="1" x14ac:dyDescent="0.2">
      <c r="K35" s="8" t="s">
        <v>347</v>
      </c>
      <c r="L35" s="10">
        <f t="shared" si="27"/>
        <v>0.1659868670219454</v>
      </c>
      <c r="M35" s="10">
        <f t="shared" si="28"/>
        <v>-0.24312788898582438</v>
      </c>
      <c r="N35" s="10">
        <f t="shared" si="29"/>
        <v>1.2535405711373249</v>
      </c>
      <c r="O35" s="10">
        <f t="shared" si="30"/>
        <v>2.5292178001510583</v>
      </c>
      <c r="P35" s="10">
        <f t="shared" si="31"/>
        <v>1.236947062305821</v>
      </c>
    </row>
    <row r="36" spans="11:16" ht="15" customHeight="1" x14ac:dyDescent="0.2">
      <c r="K36" s="8" t="s">
        <v>348</v>
      </c>
      <c r="L36" s="10">
        <f t="shared" si="27"/>
        <v>-6.3717202688755484E-2</v>
      </c>
      <c r="M36" s="10">
        <f t="shared" si="28"/>
        <v>0.90075470119162182</v>
      </c>
      <c r="N36" s="10">
        <f t="shared" si="29"/>
        <v>1.3974149887972687</v>
      </c>
      <c r="O36" s="10">
        <f t="shared" si="30"/>
        <v>0.17858358617627471</v>
      </c>
      <c r="P36" s="10">
        <f t="shared" si="31"/>
        <v>0.19130741426430398</v>
      </c>
    </row>
    <row r="37" spans="11:16" ht="15" customHeight="1" x14ac:dyDescent="0.2">
      <c r="K37" s="8" t="s">
        <v>349</v>
      </c>
      <c r="L37" s="10">
        <f t="shared" si="27"/>
        <v>-9.279117625034243E-2</v>
      </c>
      <c r="M37" s="10">
        <f t="shared" si="28"/>
        <v>-0.24244643598026114</v>
      </c>
      <c r="N37" s="10">
        <f t="shared" si="29"/>
        <v>1.3475821134543098</v>
      </c>
      <c r="O37" s="10">
        <f t="shared" si="30"/>
        <v>1.3386979587919996</v>
      </c>
      <c r="P37" s="10">
        <f t="shared" si="31"/>
        <v>3.3397584627283003</v>
      </c>
    </row>
    <row r="38" spans="11:16" ht="15" customHeight="1" x14ac:dyDescent="0.2">
      <c r="K38" s="8" t="s">
        <v>350</v>
      </c>
      <c r="L38" s="10">
        <f t="shared" si="27"/>
        <v>0.74754923469574308</v>
      </c>
      <c r="M38" s="10">
        <f t="shared" si="28"/>
        <v>-8.7121039671896161E-2</v>
      </c>
      <c r="N38" s="10">
        <f t="shared" si="29"/>
        <v>-1.7589146271423821</v>
      </c>
      <c r="O38" s="10">
        <f t="shared" si="30"/>
        <v>1.6390763298571553</v>
      </c>
      <c r="P38" s="10">
        <f t="shared" si="31"/>
        <v>0.56529492455418384</v>
      </c>
    </row>
    <row r="39" spans="11:16" ht="15" customHeight="1" x14ac:dyDescent="0.2">
      <c r="K39" s="8" t="s">
        <v>351</v>
      </c>
      <c r="L39" s="10">
        <f t="shared" si="27"/>
        <v>2.7707493752475925</v>
      </c>
      <c r="M39" s="10">
        <f t="shared" si="28"/>
        <v>2.8232156095714309</v>
      </c>
      <c r="N39" s="10">
        <f t="shared" si="29"/>
        <v>-1.2006384488058643</v>
      </c>
      <c r="O39" s="10" t="str">
        <f t="shared" si="30"/>
        <v>-</v>
      </c>
      <c r="P39" s="10" t="str">
        <f t="shared" si="31"/>
        <v>-</v>
      </c>
    </row>
    <row r="40" spans="11:16" ht="15" customHeight="1" x14ac:dyDescent="0.2">
      <c r="K40" s="8" t="s">
        <v>352</v>
      </c>
      <c r="L40" s="10">
        <f t="shared" si="27"/>
        <v>-54.342235180262399</v>
      </c>
      <c r="M40" s="10">
        <f t="shared" si="28"/>
        <v>-6.0119193494485907</v>
      </c>
      <c r="N40" s="10">
        <f t="shared" si="29"/>
        <v>0.93721266563980765</v>
      </c>
      <c r="O40" s="10">
        <f t="shared" si="30"/>
        <v>-2.9276129032258065</v>
      </c>
      <c r="P40" s="10">
        <f t="shared" si="31"/>
        <v>2.8423137876386688</v>
      </c>
    </row>
    <row r="41" spans="11:16" ht="15" customHeight="1" x14ac:dyDescent="0.2">
      <c r="K41" s="8" t="s">
        <v>353</v>
      </c>
      <c r="L41" s="10">
        <f t="shared" si="27"/>
        <v>-6.3701840988164138</v>
      </c>
      <c r="M41" s="10">
        <f t="shared" si="28"/>
        <v>1.5404714926127037</v>
      </c>
      <c r="N41" s="10">
        <f t="shared" si="29"/>
        <v>0.11563144972302589</v>
      </c>
      <c r="O41" s="10">
        <f t="shared" si="30"/>
        <v>-0.51611182348479412</v>
      </c>
      <c r="P41" s="10">
        <f t="shared" si="31"/>
        <v>-2.2317564009328685</v>
      </c>
    </row>
    <row r="42" spans="11:16" ht="15" customHeight="1" x14ac:dyDescent="0.2">
      <c r="K42" s="8" t="s">
        <v>354</v>
      </c>
      <c r="L42" s="10" t="str">
        <f t="shared" si="27"/>
        <v>-</v>
      </c>
      <c r="M42" s="10" t="str">
        <f t="shared" si="28"/>
        <v>-</v>
      </c>
      <c r="N42" s="10" t="str">
        <f t="shared" si="29"/>
        <v>-</v>
      </c>
      <c r="O42" s="10" t="str">
        <f t="shared" si="30"/>
        <v>-</v>
      </c>
      <c r="P42" s="10" t="str">
        <f t="shared" si="31"/>
        <v>-</v>
      </c>
    </row>
    <row r="43" spans="11:16" ht="15" customHeight="1" x14ac:dyDescent="0.2">
      <c r="K43" s="39" t="s">
        <v>356</v>
      </c>
      <c r="L43" s="37">
        <f>IFERROR((B14-C14)/ABS(C14),"-")</f>
        <v>-0.27653236097185768</v>
      </c>
      <c r="M43" s="37">
        <f>IFERROR((D14-E14)/ABS(E14),"-")</f>
        <v>-7.3244091072030226E-2</v>
      </c>
      <c r="N43" s="37">
        <f>IFERROR((F14-G14)/ABS(G14),"-")</f>
        <v>-5.5007908889591901</v>
      </c>
      <c r="O43" s="37">
        <f t="shared" ref="O43:P46" si="32">IFERROR((H14-I14)/ABS(I14),"-")</f>
        <v>-2.1318131705611875E-2</v>
      </c>
      <c r="P43" s="37">
        <f t="shared" si="32"/>
        <v>-0.29413361357989465</v>
      </c>
    </row>
    <row r="44" spans="11:16" ht="15" customHeight="1" x14ac:dyDescent="0.2">
      <c r="K44" s="8" t="s">
        <v>357</v>
      </c>
      <c r="L44" s="10">
        <f>IFERROR((B15-C15)/ABS(C15),"-")</f>
        <v>5.9860813370960858E-2</v>
      </c>
      <c r="M44" s="10">
        <f>IFERROR((D15-E15)/ABS(E15),"-")</f>
        <v>-0.39387475566887725</v>
      </c>
      <c r="N44" s="10">
        <f>IFERROR((F15-G15)/ABS(G15),"-")</f>
        <v>-3.546256377314672</v>
      </c>
      <c r="O44" s="10">
        <f t="shared" si="32"/>
        <v>-0.27156908422632914</v>
      </c>
      <c r="P44" s="10">
        <f t="shared" si="32"/>
        <v>-0.34334274468351439</v>
      </c>
    </row>
    <row r="45" spans="11:16" ht="15" customHeight="1" x14ac:dyDescent="0.2">
      <c r="K45" s="8" t="s">
        <v>358</v>
      </c>
      <c r="L45" s="10">
        <f>IFERROR((B16-C16)/ABS(C16),"-")</f>
        <v>0.24417894609517388</v>
      </c>
      <c r="M45" s="10">
        <f>IFERROR((D16-E16)/ABS(E16),"-")</f>
        <v>47.360791566487883</v>
      </c>
      <c r="N45" s="10">
        <f>IFERROR((F16-G16)/ABS(G16),"-")</f>
        <v>-0.8571864393852725</v>
      </c>
      <c r="O45" s="10">
        <f t="shared" si="32"/>
        <v>10.013010380622838</v>
      </c>
      <c r="P45" s="10">
        <f t="shared" si="32"/>
        <v>0.63424564578149745</v>
      </c>
    </row>
    <row r="46" spans="11:16" ht="15" customHeight="1" x14ac:dyDescent="0.2">
      <c r="K46" s="8" t="s">
        <v>359</v>
      </c>
      <c r="L46" s="10">
        <f>IFERROR((B17-C17)/ABS(C17),"-")</f>
        <v>-0.94888617892078297</v>
      </c>
      <c r="M46" s="10">
        <f>IFERROR((D17-E17)/ABS(E17),"-")</f>
        <v>-0.40907530714716456</v>
      </c>
      <c r="N46" s="10">
        <f>IFERROR((F17-G17)/ABS(G17),"-")</f>
        <v>-4.4188656199903305</v>
      </c>
      <c r="O46" s="10" t="str">
        <f t="shared" si="32"/>
        <v>-</v>
      </c>
      <c r="P46" s="10">
        <f t="shared" si="32"/>
        <v>1</v>
      </c>
    </row>
    <row r="47" spans="11:16" ht="15" customHeight="1" x14ac:dyDescent="0.2">
      <c r="K47" s="39" t="s">
        <v>361</v>
      </c>
      <c r="L47" s="37">
        <f t="shared" ref="L47:L55" si="33">IFERROR((B19-C19)/ABS(C19),"-")</f>
        <v>2.0138226487745294</v>
      </c>
      <c r="M47" s="37">
        <f t="shared" ref="M47:M55" si="34">IFERROR((D19-E19)/ABS(E19),"-")</f>
        <v>-4.3552406019400065</v>
      </c>
      <c r="N47" s="37">
        <f t="shared" ref="N47:N55" si="35">IFERROR((F19-G19)/ABS(G19),"-")</f>
        <v>1.5614101158967424</v>
      </c>
      <c r="O47" s="37">
        <f t="shared" ref="O47:O55" si="36">IFERROR((H19-I19)/ABS(I19),"-")</f>
        <v>-2.0645571018334437</v>
      </c>
      <c r="P47" s="37">
        <f t="shared" ref="P47:P55" si="37">IFERROR((I19-J19)/ABS(J19),"-")</f>
        <v>0.73028411262581217</v>
      </c>
    </row>
    <row r="48" spans="11:16" ht="15" customHeight="1" x14ac:dyDescent="0.2">
      <c r="K48" s="8" t="s">
        <v>362</v>
      </c>
      <c r="L48" s="10">
        <f t="shared" si="33"/>
        <v>0.21376601910365006</v>
      </c>
      <c r="M48" s="10">
        <f t="shared" si="34"/>
        <v>1.1928420719594972</v>
      </c>
      <c r="N48" s="10">
        <f t="shared" si="35"/>
        <v>-11.241346410324805</v>
      </c>
      <c r="O48" s="10">
        <f t="shared" si="36"/>
        <v>-0.88843624402838839</v>
      </c>
      <c r="P48" s="10">
        <f t="shared" si="37"/>
        <v>0.61899803662323627</v>
      </c>
    </row>
    <row r="49" spans="11:16" ht="15" customHeight="1" x14ac:dyDescent="0.2">
      <c r="K49" s="8" t="s">
        <v>363</v>
      </c>
      <c r="L49" s="10">
        <f t="shared" si="33"/>
        <v>0.21442897617086951</v>
      </c>
      <c r="M49" s="10">
        <f t="shared" si="34"/>
        <v>-1.3600962524575895</v>
      </c>
      <c r="N49" s="10">
        <f t="shared" si="35"/>
        <v>0.32749307815611794</v>
      </c>
      <c r="O49" s="10">
        <f t="shared" si="36"/>
        <v>-4.2549580432816674</v>
      </c>
      <c r="P49" s="10">
        <f t="shared" si="37"/>
        <v>-5.8220016468964901E-2</v>
      </c>
    </row>
    <row r="50" spans="11:16" ht="15" customHeight="1" x14ac:dyDescent="0.2">
      <c r="K50" s="8" t="s">
        <v>364</v>
      </c>
      <c r="L50" s="10">
        <f t="shared" si="33"/>
        <v>0.33155741784025972</v>
      </c>
      <c r="M50" s="10">
        <f t="shared" si="34"/>
        <v>-0.66410513679608696</v>
      </c>
      <c r="N50" s="10" t="str">
        <f t="shared" si="35"/>
        <v>-</v>
      </c>
      <c r="O50" s="10" t="str">
        <f t="shared" si="36"/>
        <v>-</v>
      </c>
      <c r="P50" s="10" t="str">
        <f t="shared" si="37"/>
        <v>-</v>
      </c>
    </row>
    <row r="51" spans="11:16" ht="15" customHeight="1" x14ac:dyDescent="0.2">
      <c r="K51" s="8" t="s">
        <v>370</v>
      </c>
      <c r="L51" s="10" t="str">
        <f t="shared" si="33"/>
        <v>-</v>
      </c>
      <c r="M51" s="10">
        <f t="shared" si="34"/>
        <v>-0.40034929480074433</v>
      </c>
      <c r="N51" s="10">
        <f t="shared" si="35"/>
        <v>4.2327592869998565</v>
      </c>
      <c r="O51" s="10">
        <f t="shared" si="36"/>
        <v>-53.77912932138284</v>
      </c>
      <c r="P51" s="10" t="str">
        <f t="shared" si="37"/>
        <v>-</v>
      </c>
    </row>
    <row r="52" spans="11:16" ht="15" customHeight="1" x14ac:dyDescent="0.2">
      <c r="K52" s="39" t="s">
        <v>366</v>
      </c>
      <c r="L52" s="37">
        <f t="shared" si="33"/>
        <v>-1.8680632529596413</v>
      </c>
      <c r="M52" s="37">
        <f t="shared" si="34"/>
        <v>7.2048849663952697E-2</v>
      </c>
      <c r="N52" s="37">
        <f t="shared" si="35"/>
        <v>3.5947111280105033</v>
      </c>
      <c r="O52" s="37">
        <f t="shared" si="36"/>
        <v>-3.1929734787566888</v>
      </c>
      <c r="P52" s="37">
        <f t="shared" si="37"/>
        <v>-0.47664738469072321</v>
      </c>
    </row>
    <row r="53" spans="11:16" ht="15" customHeight="1" x14ac:dyDescent="0.2">
      <c r="K53" s="8" t="s">
        <v>367</v>
      </c>
      <c r="L53" s="10">
        <f t="shared" si="33"/>
        <v>0.92179752777658086</v>
      </c>
      <c r="M53" s="10">
        <f t="shared" si="34"/>
        <v>6.1350436036692289</v>
      </c>
      <c r="N53" s="10">
        <f t="shared" si="35"/>
        <v>-0.70277328909919157</v>
      </c>
      <c r="O53" s="10">
        <f t="shared" si="36"/>
        <v>0.30440548827977232</v>
      </c>
      <c r="P53" s="10">
        <f t="shared" si="37"/>
        <v>1.39026647518749</v>
      </c>
    </row>
    <row r="54" spans="11:16" ht="15" customHeight="1" x14ac:dyDescent="0.2">
      <c r="K54" s="8" t="s">
        <v>368</v>
      </c>
      <c r="L54" s="10">
        <f t="shared" si="33"/>
        <v>-0.47561256365576721</v>
      </c>
      <c r="M54" s="10" t="str">
        <f t="shared" si="34"/>
        <v>-</v>
      </c>
      <c r="N54" s="10" t="str">
        <f t="shared" si="35"/>
        <v>-</v>
      </c>
      <c r="O54" s="10" t="str">
        <f t="shared" si="36"/>
        <v>-</v>
      </c>
      <c r="P54" s="10" t="str">
        <f t="shared" si="37"/>
        <v>-</v>
      </c>
    </row>
    <row r="55" spans="11:16" ht="15" customHeight="1" x14ac:dyDescent="0.2">
      <c r="K55" s="39" t="s">
        <v>369</v>
      </c>
      <c r="L55" s="37">
        <f t="shared" si="33"/>
        <v>-0.79122357574293622</v>
      </c>
      <c r="M55" s="37">
        <f t="shared" si="34"/>
        <v>0.92179765160362881</v>
      </c>
      <c r="N55" s="37">
        <f t="shared" si="35"/>
        <v>6.1350262503922712</v>
      </c>
      <c r="O55" s="37">
        <f t="shared" si="36"/>
        <v>-0.51175898599430214</v>
      </c>
      <c r="P55" s="37">
        <f t="shared" si="37"/>
        <v>0.30440103784207179</v>
      </c>
    </row>
  </sheetData>
  <mergeCells count="3">
    <mergeCell ref="A1:J1"/>
    <mergeCell ref="L1:T1"/>
    <mergeCell ref="L32:T3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44" sqref="K44"/>
    </sheetView>
  </sheetViews>
  <sheetFormatPr baseColWidth="10" defaultColWidth="8.6640625" defaultRowHeight="15" x14ac:dyDescent="0.2"/>
  <cols>
    <col min="1" max="1" width="58" customWidth="1"/>
    <col min="2" max="2" width="46" customWidth="1"/>
    <col min="3" max="3" width="38" customWidth="1"/>
    <col min="4" max="10" width="16" customWidth="1"/>
    <col min="11" max="12" width="3" customWidth="1"/>
    <col min="13" max="13" width="32" customWidth="1"/>
  </cols>
  <sheetData>
    <row r="1" spans="1:9" ht="21.75" customHeight="1" x14ac:dyDescent="0.2">
      <c r="A1" s="256" t="s">
        <v>371</v>
      </c>
      <c r="B1" s="256"/>
      <c r="C1" s="256"/>
      <c r="D1" s="256"/>
      <c r="E1" s="256"/>
      <c r="F1" s="256"/>
      <c r="G1" s="256"/>
      <c r="H1" s="256"/>
      <c r="I1" s="256"/>
    </row>
    <row r="2" spans="1:9" ht="27.75" customHeight="1" x14ac:dyDescent="0.2">
      <c r="A2" s="24" t="s">
        <v>149</v>
      </c>
      <c r="B2" s="24" t="s">
        <v>150</v>
      </c>
      <c r="C2" s="24" t="s">
        <v>372</v>
      </c>
      <c r="D2" s="25" t="s">
        <v>152</v>
      </c>
      <c r="E2" s="25" t="s">
        <v>153</v>
      </c>
      <c r="F2" s="25" t="s">
        <v>154</v>
      </c>
      <c r="G2" s="25" t="s">
        <v>155</v>
      </c>
      <c r="H2" s="25" t="s">
        <v>156</v>
      </c>
      <c r="I2" s="25" t="s">
        <v>157</v>
      </c>
    </row>
    <row r="3" spans="1:9" ht="15.75" customHeight="1" x14ac:dyDescent="0.2">
      <c r="A3" s="26" t="s">
        <v>158</v>
      </c>
      <c r="B3" s="26"/>
      <c r="C3" s="26"/>
      <c r="D3" s="26"/>
      <c r="E3" s="26"/>
      <c r="F3" s="26"/>
      <c r="G3" s="26"/>
      <c r="H3" s="26"/>
      <c r="I3" s="26"/>
    </row>
    <row r="4" spans="1:9" ht="15" customHeight="1" x14ac:dyDescent="0.2">
      <c r="A4" s="29" t="s">
        <v>159</v>
      </c>
      <c r="B4" s="42" t="s">
        <v>160</v>
      </c>
      <c r="C4" s="42" t="s">
        <v>161</v>
      </c>
      <c r="D4" s="43">
        <f>IFERROR(ASTOR_BS!B13/ASTOR_BS!B35,"-")</f>
        <v>2.0681812302160001</v>
      </c>
      <c r="E4" s="43">
        <f>IFERROR(ASTOR_BS!D13/ASTOR_BS!D35,"-")</f>
        <v>2.1904733156054577</v>
      </c>
      <c r="F4" s="43">
        <f>IFERROR(ASTOR_BS!F13/ASTOR_BS!F35,"-")</f>
        <v>2.0362278755445633</v>
      </c>
      <c r="G4" s="43">
        <f>IFERROR(ASTOR_BS!H13/ASTOR_BS!H35,"-")</f>
        <v>1.7178177676911075</v>
      </c>
      <c r="H4" s="43">
        <f>IFERROR(ASTOR_BS!I13/ASTOR_BS!I35,"-")</f>
        <v>1.3673233992655873</v>
      </c>
      <c r="I4" s="43">
        <f>IFERROR(ASTOR_BS!J13/ASTOR_BS!J35,"-")</f>
        <v>1.4792424007042617</v>
      </c>
    </row>
    <row r="5" spans="1:9" ht="15" customHeight="1" x14ac:dyDescent="0.2">
      <c r="A5" s="29" t="s">
        <v>162</v>
      </c>
      <c r="B5" s="42" t="s">
        <v>373</v>
      </c>
      <c r="C5" s="42" t="s">
        <v>164</v>
      </c>
      <c r="D5" s="43">
        <f>IFERROR((ASTOR_BS!B13-ASTOR_BS!B10)/ASTOR_BS!B35,"-")</f>
        <v>1.6179480954695218</v>
      </c>
      <c r="E5" s="43">
        <f>IFERROR((ASTOR_BS!D13-ASTOR_BS!D10)/ASTOR_BS!D35,"-")</f>
        <v>1.8935183297830902</v>
      </c>
      <c r="F5" s="43">
        <f>IFERROR((ASTOR_BS!F13-ASTOR_BS!F10)/ASTOR_BS!F35,"-")</f>
        <v>1.7999864401081604</v>
      </c>
      <c r="G5" s="43">
        <f>IFERROR((ASTOR_BS!H13-ASTOR_BS!H10)/ASTOR_BS!H35,"-")</f>
        <v>1.3074299166938796</v>
      </c>
      <c r="H5" s="43">
        <f>IFERROR((ASTOR_BS!I13-ASTOR_BS!I10)/ASTOR_BS!I35,"-")</f>
        <v>1.0654870394395219</v>
      </c>
      <c r="I5" s="43">
        <f>IFERROR((ASTOR_BS!J13-ASTOR_BS!J10)/ASTOR_BS!J35,"-")</f>
        <v>1.0332064626378747</v>
      </c>
    </row>
    <row r="6" spans="1:9" ht="15" customHeight="1" x14ac:dyDescent="0.2">
      <c r="A6" s="29" t="s">
        <v>165</v>
      </c>
      <c r="B6" s="42" t="s">
        <v>374</v>
      </c>
      <c r="C6" s="42" t="s">
        <v>167</v>
      </c>
      <c r="D6" s="43">
        <f>IFERROR((ASTOR_BS!B5+ASTOR_BS!B6)/ASTOR_BS!B35,"-")</f>
        <v>0.72423119584519835</v>
      </c>
      <c r="E6" s="43">
        <f>IFERROR((ASTOR_BS!D5+ASTOR_BS!D6)/ASTOR_BS!D35,"-")</f>
        <v>0.82170051715812509</v>
      </c>
      <c r="F6" s="43">
        <f>IFERROR((ASTOR_BS!F5+ASTOR_BS!F6)/ASTOR_BS!F35,"-")</f>
        <v>0.48153019317690615</v>
      </c>
      <c r="G6" s="43">
        <f>IFERROR((ASTOR_BS!H5+ASTOR_BS!H6)/ASTOR_BS!H35,"-")</f>
        <v>0.17594575059538531</v>
      </c>
      <c r="H6" s="43">
        <f>IFERROR((ASTOR_BS!I5+ASTOR_BS!I6)/ASTOR_BS!I35,"-")</f>
        <v>0.16099132023005247</v>
      </c>
      <c r="I6" s="43">
        <f>IFERROR((ASTOR_BS!J5+ASTOR_BS!J6)/ASTOR_BS!J35,"-")</f>
        <v>0.29089249650458288</v>
      </c>
    </row>
    <row r="7" spans="1:9" ht="15.75" customHeight="1" x14ac:dyDescent="0.2">
      <c r="A7" s="26" t="s">
        <v>168</v>
      </c>
      <c r="B7" s="44"/>
      <c r="C7" s="44"/>
      <c r="D7" s="26"/>
      <c r="E7" s="26"/>
      <c r="F7" s="26"/>
      <c r="G7" s="26"/>
      <c r="H7" s="26"/>
      <c r="I7" s="26"/>
    </row>
    <row r="8" spans="1:9" ht="15" customHeight="1" x14ac:dyDescent="0.2">
      <c r="A8" s="29" t="s">
        <v>169</v>
      </c>
      <c r="B8" s="42" t="s">
        <v>170</v>
      </c>
      <c r="C8" s="42" t="s">
        <v>171</v>
      </c>
      <c r="D8" s="45">
        <f>IFERROR(ASTOR_BS!B41/ASTOR_BS!B22,"-")</f>
        <v>0.34338547978598238</v>
      </c>
      <c r="E8" s="45">
        <f>IFERROR(ASTOR_BS!D41/ASTOR_BS!D22,"-")</f>
        <v>0.31839521344742716</v>
      </c>
      <c r="F8" s="45">
        <f>IFERROR(ASTOR_BS!F41/ASTOR_BS!F22,"-")</f>
        <v>0.34739716630969997</v>
      </c>
      <c r="G8" s="45">
        <f>IFERROR(ASTOR_BS!H41/ASTOR_BS!H22,"-")</f>
        <v>0.48412455048021491</v>
      </c>
      <c r="H8" s="45">
        <f>IFERROR(ASTOR_BS!I41/ASTOR_BS!I22,"-")</f>
        <v>0.65507436673439123</v>
      </c>
      <c r="I8" s="45">
        <f>IFERROR(ASTOR_BS!J41/ASTOR_BS!J22,"-")</f>
        <v>0.66024459967044813</v>
      </c>
    </row>
    <row r="9" spans="1:9" ht="15" customHeight="1" x14ac:dyDescent="0.2">
      <c r="A9" s="29" t="s">
        <v>172</v>
      </c>
      <c r="B9" s="42" t="s">
        <v>173</v>
      </c>
      <c r="C9" s="42" t="s">
        <v>174</v>
      </c>
      <c r="D9" s="43">
        <f>IFERROR(ASTOR_BS!B41/ASTOR_BS!B50,"-")</f>
        <v>0.52296359512745938</v>
      </c>
      <c r="E9" s="43">
        <f>IFERROR(ASTOR_BS!D41/ASTOR_BS!D50,"-")</f>
        <v>0.46712586973953263</v>
      </c>
      <c r="F9" s="43">
        <f>IFERROR(ASTOR_BS!F41/ASTOR_BS!F50,"-")</f>
        <v>0.53232559952296032</v>
      </c>
      <c r="G9" s="43">
        <f>IFERROR(ASTOR_BS!H41/ASTOR_BS!H50,"-")</f>
        <v>0.93845296064534178</v>
      </c>
      <c r="H9" s="43">
        <f>IFERROR(ASTOR_BS!I41/ASTOR_BS!I50,"-")</f>
        <v>1.8991739298636869</v>
      </c>
      <c r="I9" s="43">
        <f>IFERROR(ASTOR_BS!J41/ASTOR_BS!J50,"-")</f>
        <v>1.943290512953558</v>
      </c>
    </row>
    <row r="10" spans="1:9" ht="15" customHeight="1" x14ac:dyDescent="0.2">
      <c r="A10" s="29" t="s">
        <v>175</v>
      </c>
      <c r="B10" s="42" t="s">
        <v>176</v>
      </c>
      <c r="C10" s="42" t="s">
        <v>177</v>
      </c>
      <c r="D10" s="43">
        <f>IFERROR((ASTOR_BS!B25+ASTOR_BS!B26+ASTOR_BS!B37)/ASTOR_BS!B50,"-")</f>
        <v>0.13872492636973535</v>
      </c>
      <c r="E10" s="43">
        <f>IFERROR((ASTOR_BS!D25+ASTOR_BS!D26+ASTOR_BS!D37)/ASTOR_BS!D50,"-")</f>
        <v>9.3472599225002978E-2</v>
      </c>
      <c r="F10" s="43">
        <f>IFERROR((ASTOR_BS!F25+ASTOR_BS!F26+ASTOR_BS!F37)/ASTOR_BS!F50,"-")</f>
        <v>9.3732529965730338E-2</v>
      </c>
      <c r="G10" s="43">
        <f>IFERROR((ASTOR_BS!H25+ASTOR_BS!H26+ASTOR_BS!H37)/ASTOR_BS!H50,"-")</f>
        <v>0.38825642596227089</v>
      </c>
      <c r="H10" s="43">
        <f>IFERROR((ASTOR_BS!I25+ASTOR_BS!I26+ASTOR_BS!I37)/ASTOR_BS!I50,"-")</f>
        <v>1.1563925995039028</v>
      </c>
      <c r="I10" s="43">
        <f>IFERROR((ASTOR_BS!J25+ASTOR_BS!J26+ASTOR_BS!J37)/ASTOR_BS!J50,"-")</f>
        <v>1.2765644463312666</v>
      </c>
    </row>
    <row r="11" spans="1:9" ht="15" customHeight="1" x14ac:dyDescent="0.2">
      <c r="A11" s="29" t="s">
        <v>178</v>
      </c>
      <c r="B11" s="42" t="s">
        <v>179</v>
      </c>
      <c r="C11" s="42" t="s">
        <v>180</v>
      </c>
      <c r="D11" s="43">
        <f>IFERROR((ASTOR_BS!B25+ASTOR_BS!B26+ASTOR_BS!B37-ASTOR_BS!B5-ASTOR_BS!B6-ASTOR_BS!B16)/ASTOR_PLS!B13,"-")</f>
        <v>-0.91374362687818067</v>
      </c>
      <c r="E11" s="43">
        <f>IFERROR((ASTOR_BS!D25+ASTOR_BS!D26+ASTOR_BS!D37-ASTOR_BS!D5-ASTOR_BS!D6-ASTOR_BS!D16)/ASTOR_PLS!D13,"-")</f>
        <v>-0.925556215456805</v>
      </c>
      <c r="F11" s="43">
        <f>IFERROR((ASTOR_BS!F25+ASTOR_BS!F26+ASTOR_BS!F37-ASTOR_BS!F5-ASTOR_BS!F6-ASTOR_BS!F16)/ASTOR_PLS!F13,"-")</f>
        <v>-0.3759501708362874</v>
      </c>
      <c r="G11" s="43">
        <f>IFERROR((ASTOR_BS!H25+ASTOR_BS!H26+ASTOR_BS!H37-ASTOR_BS!H5-ASTOR_BS!H6-ASTOR_BS!H16)/ASTOR_PLS!H13,"-")</f>
        <v>0.32393743225061955</v>
      </c>
      <c r="H11" s="43">
        <f>IFERROR((ASTOR_BS!I25+ASTOR_BS!I26+ASTOR_BS!I37-ASTOR_BS!I5-ASTOR_BS!I6-ASTOR_BS!I16)/ASTOR_PLS!I13,"-")</f>
        <v>0.90900616924688626</v>
      </c>
      <c r="I11" s="43">
        <f>IFERROR((ASTOR_BS!J25+ASTOR_BS!J26+ASTOR_BS!J37-ASTOR_BS!J5-ASTOR_BS!J6-ASTOR_BS!J16)/ASTOR_PLS!J13,"-")</f>
        <v>1.2778079487835572</v>
      </c>
    </row>
    <row r="12" spans="1:9" ht="15" customHeight="1" x14ac:dyDescent="0.2">
      <c r="A12" s="29" t="s">
        <v>181</v>
      </c>
      <c r="B12" s="42" t="s">
        <v>375</v>
      </c>
      <c r="C12" s="42" t="s">
        <v>183</v>
      </c>
      <c r="D12" s="43">
        <f>IFERROR(ASTOR_PLS!B11/ABS(ASTOR_PLS!B18),"-")</f>
        <v>6.5307806629372962</v>
      </c>
      <c r="E12" s="43">
        <f>IFERROR(ASTOR_PLS!D11/ABS(ASTOR_PLS!D18),"-")</f>
        <v>7.5571663981292847</v>
      </c>
      <c r="F12" s="43">
        <f>IFERROR(ASTOR_PLS!F11/ABS(ASTOR_PLS!F18),"-")</f>
        <v>6.5658655721175343</v>
      </c>
      <c r="G12" s="43">
        <f>IFERROR(ASTOR_PLS!H11/ABS(ASTOR_PLS!H18),"-")</f>
        <v>6.1241459831179785</v>
      </c>
      <c r="H12" s="43">
        <f>IFERROR(ASTOR_PLS!I11/ABS(ASTOR_PLS!I18),"-")</f>
        <v>2.1902825812995301</v>
      </c>
      <c r="I12" s="43">
        <f>IFERROR(ASTOR_PLS!J11/ABS(ASTOR_PLS!J18),"-")</f>
        <v>3.2203612317410184</v>
      </c>
    </row>
    <row r="13" spans="1:9" ht="15" customHeight="1" x14ac:dyDescent="0.2">
      <c r="A13" s="29" t="s">
        <v>184</v>
      </c>
      <c r="B13" s="42" t="s">
        <v>185</v>
      </c>
      <c r="C13" s="42" t="s">
        <v>186</v>
      </c>
      <c r="D13" s="43">
        <f>IFERROR(ASTOR_BS!B22/ASTOR_BS!B50,"-")</f>
        <v>1.5229636251754162</v>
      </c>
      <c r="E13" s="43">
        <f>IFERROR(ASTOR_BS!D22/ASTOR_BS!D50,"-")</f>
        <v>1.4671259177602669</v>
      </c>
      <c r="F13" s="43">
        <f>IFERROR(ASTOR_BS!F22/ASTOR_BS!F50,"-")</f>
        <v>1.5323256812302237</v>
      </c>
      <c r="G13" s="43">
        <f>IFERROR(ASTOR_BS!H22/ASTOR_BS!H50,"-")</f>
        <v>1.9384535647169048</v>
      </c>
      <c r="H13" s="43">
        <f>IFERROR(ASTOR_BS!I22/ASTOR_BS!I50,"-")</f>
        <v>2.8991730195935643</v>
      </c>
      <c r="I13" s="43">
        <f>IFERROR(ASTOR_BS!J22/ASTOR_BS!J50,"-")</f>
        <v>2.9432887658960394</v>
      </c>
    </row>
    <row r="14" spans="1:9" ht="15.75" customHeight="1" x14ac:dyDescent="0.2">
      <c r="A14" s="26" t="s">
        <v>187</v>
      </c>
      <c r="B14" s="44"/>
      <c r="C14" s="44"/>
      <c r="D14" s="26"/>
      <c r="E14" s="26"/>
      <c r="F14" s="26"/>
      <c r="G14" s="26"/>
      <c r="H14" s="26"/>
      <c r="I14" s="26"/>
    </row>
    <row r="15" spans="1:9" ht="15" customHeight="1" x14ac:dyDescent="0.2">
      <c r="A15" s="29" t="s">
        <v>188</v>
      </c>
      <c r="B15" s="42" t="s">
        <v>189</v>
      </c>
      <c r="C15" s="42" t="s">
        <v>376</v>
      </c>
      <c r="D15" s="45">
        <f>IFERROR(ASTOR_PLS!B5/ASTOR_PLS!B3,"-")</f>
        <v>0.36949670150269048</v>
      </c>
      <c r="E15" s="45">
        <f>IFERROR(ASTOR_PLS!D5/ASTOR_PLS!D3,"-")</f>
        <v>0.34583453994824981</v>
      </c>
      <c r="F15" s="45">
        <f>IFERROR(ASTOR_PLS!F5/ASTOR_PLS!F3,"-")</f>
        <v>0.38294935648868877</v>
      </c>
      <c r="G15" s="45">
        <f>IFERROR(ASTOR_PLS!H5/ASTOR_PLS!H3,"-")</f>
        <v>0.33622462320591878</v>
      </c>
      <c r="H15" s="45">
        <f>IFERROR(ASTOR_PLS!I5/ASTOR_PLS!I3,"-")</f>
        <v>0.28028673221524131</v>
      </c>
      <c r="I15" s="45">
        <f>IFERROR(ASTOR_PLS!J5/ASTOR_PLS!J3,"-")</f>
        <v>0.29825589501686262</v>
      </c>
    </row>
    <row r="16" spans="1:9" ht="15" customHeight="1" x14ac:dyDescent="0.2">
      <c r="A16" s="29" t="s">
        <v>191</v>
      </c>
      <c r="B16" s="42" t="s">
        <v>192</v>
      </c>
      <c r="C16" s="42" t="s">
        <v>377</v>
      </c>
      <c r="D16" s="45">
        <f>IFERROR(ASTOR_PLS!B13/ASTOR_PLS!B3,"-")</f>
        <v>0.30702514909919643</v>
      </c>
      <c r="E16" s="45">
        <f>IFERROR(ASTOR_PLS!D13/ASTOR_PLS!D3,"-")</f>
        <v>0.28028757436409985</v>
      </c>
      <c r="F16" s="45">
        <f>IFERROR(ASTOR_PLS!F13/ASTOR_PLS!F3,"-")</f>
        <v>0.34506610585023828</v>
      </c>
      <c r="G16" s="45">
        <f>IFERROR(ASTOR_PLS!H13/ASTOR_PLS!H3,"-")</f>
        <v>0.30736308330423828</v>
      </c>
      <c r="H16" s="45">
        <f>IFERROR(ASTOR_PLS!I13/ASTOR_PLS!I3,"-")</f>
        <v>0.34044774406508954</v>
      </c>
      <c r="I16" s="45">
        <f>IFERROR(ASTOR_PLS!J13/ASTOR_PLS!J3,"-")</f>
        <v>0.26436429347458457</v>
      </c>
    </row>
    <row r="17" spans="1:9" ht="15" customHeight="1" x14ac:dyDescent="0.2">
      <c r="A17" s="29" t="s">
        <v>194</v>
      </c>
      <c r="B17" s="42" t="s">
        <v>195</v>
      </c>
      <c r="C17" s="42" t="s">
        <v>378</v>
      </c>
      <c r="D17" s="45">
        <f>IFERROR(ASTOR_PLS!B11/ASTOR_PLS!B3,"-")</f>
        <v>0.27705249364515089</v>
      </c>
      <c r="E17" s="45">
        <f>IFERROR(ASTOR_PLS!D11/ASTOR_PLS!D3,"-")</f>
        <v>0.24786924012744857</v>
      </c>
      <c r="F17" s="45">
        <f>IFERROR(ASTOR_PLS!F11/ASTOR_PLS!F3,"-")</f>
        <v>0.32646750210530823</v>
      </c>
      <c r="G17" s="45">
        <f>IFERROR(ASTOR_PLS!H11/ASTOR_PLS!H3,"-")</f>
        <v>0.29659112230033063</v>
      </c>
      <c r="H17" s="45">
        <f>IFERROR(ASTOR_PLS!I11/ASTOR_PLS!I3,"-")</f>
        <v>0.3190277912514401</v>
      </c>
      <c r="I17" s="45">
        <f>IFERROR(ASTOR_PLS!J11/ASTOR_PLS!J3,"-")</f>
        <v>0.22521718483178096</v>
      </c>
    </row>
    <row r="18" spans="1:9" ht="15" customHeight="1" x14ac:dyDescent="0.2">
      <c r="A18" s="29" t="s">
        <v>197</v>
      </c>
      <c r="B18" s="42" t="s">
        <v>198</v>
      </c>
      <c r="C18" s="42" t="s">
        <v>379</v>
      </c>
      <c r="D18" s="45">
        <f>IFERROR(ASTOR_PLS!B23/ASTOR_PLS!B3,"-")</f>
        <v>0.21730641331768163</v>
      </c>
      <c r="E18" s="45">
        <f>IFERROR(ASTOR_PLS!D23/ASTOR_PLS!D3,"-")</f>
        <v>0.18873451729957141</v>
      </c>
      <c r="F18" s="45">
        <f>IFERROR(ASTOR_PLS!F23/ASTOR_PLS!F3,"-")</f>
        <v>0.27185884585360109</v>
      </c>
      <c r="G18" s="45">
        <f>IFERROR(ASTOR_PLS!H23/ASTOR_PLS!H3,"-")</f>
        <v>0.24714596669323888</v>
      </c>
      <c r="H18" s="45">
        <f>IFERROR(ASTOR_PLS!I23/ASTOR_PLS!I3,"-")</f>
        <v>0.16411903489266405</v>
      </c>
      <c r="I18" s="45">
        <f>IFERROR(ASTOR_PLS!J23/ASTOR_PLS!J3,"-")</f>
        <v>0.15973663103634403</v>
      </c>
    </row>
    <row r="19" spans="1:9" ht="15" customHeight="1" x14ac:dyDescent="0.2">
      <c r="A19" s="29" t="s">
        <v>200</v>
      </c>
      <c r="B19" s="42" t="s">
        <v>380</v>
      </c>
      <c r="C19" s="42" t="s">
        <v>381</v>
      </c>
      <c r="D19" s="45">
        <f>IFERROR(ASTOR_PLS!B23/ASTOR_BS!B22,"-")</f>
        <v>0.15130701277267938</v>
      </c>
      <c r="E19" s="45">
        <f>IFERROR(ASTOR_PLS!D23/ASTOR_BS!D22,"-")</f>
        <v>0.16447018757508119</v>
      </c>
      <c r="F19" s="45">
        <f>IFERROR(ASTOR_PLS!F23/ASTOR_BS!F22,"-")</f>
        <v>0.24519371996649861</v>
      </c>
      <c r="G19" s="45">
        <f>IFERROR(ASTOR_PLS!H23/ASTOR_BS!H22,"-")</f>
        <v>0.28467145323436105</v>
      </c>
      <c r="H19" s="45">
        <f>IFERROR(ASTOR_PLS!I23/ASTOR_BS!I22,"-")</f>
        <v>0.16253929799410291</v>
      </c>
      <c r="I19" s="45">
        <f>IFERROR(ASTOR_PLS!J23/ASTOR_BS!J22,"-")</f>
        <v>0.13736531822649806</v>
      </c>
    </row>
    <row r="20" spans="1:9" ht="15" customHeight="1" x14ac:dyDescent="0.2">
      <c r="A20" s="29" t="s">
        <v>203</v>
      </c>
      <c r="B20" s="42" t="s">
        <v>382</v>
      </c>
      <c r="C20" s="42" t="s">
        <v>383</v>
      </c>
      <c r="D20" s="45">
        <f>IFERROR(ASTOR_PLS!B23/ASTOR_BS!B50,"-")</f>
        <v>0.23043507668674282</v>
      </c>
      <c r="E20" s="45">
        <f>IFERROR(ASTOR_PLS!D23/ASTOR_BS!D50,"-")</f>
        <v>0.24129847489029424</v>
      </c>
      <c r="F20" s="45">
        <f>IFERROR(ASTOR_PLS!F23/ASTOR_BS!F50,"-")</f>
        <v>0.37571663398103772</v>
      </c>
      <c r="G20" s="45">
        <f>IFERROR(ASTOR_PLS!H23/ASTOR_BS!H50,"-")</f>
        <v>0.55182239329528893</v>
      </c>
      <c r="H20" s="45">
        <f>IFERROR(ASTOR_PLS!I23/ASTOR_BS!I50,"-")</f>
        <v>0.47122954736818151</v>
      </c>
      <c r="I20" s="45">
        <f>IFERROR(ASTOR_PLS!J23/ASTOR_BS!J50,"-")</f>
        <v>0.40430579795978622</v>
      </c>
    </row>
    <row r="21" spans="1:9" ht="15.75" customHeight="1" x14ac:dyDescent="0.2">
      <c r="A21" s="26" t="s">
        <v>209</v>
      </c>
      <c r="B21" s="44"/>
      <c r="C21" s="44"/>
      <c r="D21" s="26"/>
      <c r="E21" s="26"/>
      <c r="F21" s="26"/>
      <c r="G21" s="26"/>
      <c r="H21" s="26"/>
      <c r="I21" s="26"/>
    </row>
    <row r="22" spans="1:9" ht="15" customHeight="1" x14ac:dyDescent="0.2">
      <c r="A22" s="29" t="s">
        <v>210</v>
      </c>
      <c r="B22" s="42" t="s">
        <v>211</v>
      </c>
      <c r="C22" s="42" t="s">
        <v>384</v>
      </c>
      <c r="D22" s="43">
        <f>IFERROR(ASTOR_PLS!B3/ASTOR_BS!B22,"-")</f>
        <v>0.69628415683932299</v>
      </c>
      <c r="E22" s="43">
        <f>IFERROR(ASTOR_PLS!D3/ASTOR_BS!D22,"-")</f>
        <v>0.87143671400618083</v>
      </c>
      <c r="F22" s="43">
        <f>IFERROR(ASTOR_PLS!F3/ASTOR_BS!F22,"-")</f>
        <v>0.90191554810961738</v>
      </c>
      <c r="G22" s="43">
        <f>IFERROR(ASTOR_PLS!H3/ASTOR_BS!H22,"-")</f>
        <v>1.1518353183877743</v>
      </c>
      <c r="H22" s="43">
        <f>IFERROR(ASTOR_PLS!I3/ASTOR_BS!I22,"-")</f>
        <v>0.99037444438060274</v>
      </c>
      <c r="I22" s="43">
        <f>IFERROR(ASTOR_PLS!J3/ASTOR_BS!J22,"-")</f>
        <v>0.85994876275588938</v>
      </c>
    </row>
    <row r="23" spans="1:9" ht="15" customHeight="1" x14ac:dyDescent="0.2">
      <c r="A23" s="29" t="s">
        <v>385</v>
      </c>
      <c r="B23" s="42" t="s">
        <v>386</v>
      </c>
      <c r="C23" s="42" t="s">
        <v>387</v>
      </c>
      <c r="D23" s="43">
        <f>IFERROR(ASTOR_PLS!B3/(ASTOR_BS!B7+ASTOR_BS!B8),"-")</f>
        <v>3.0015230123103147</v>
      </c>
      <c r="E23" s="43">
        <f>IFERROR(ASTOR_PLS!D3/(ASTOR_BS!D7+ASTOR_BS!D8),"-")</f>
        <v>4.0682347400723584</v>
      </c>
      <c r="F23" s="43">
        <f>IFERROR(ASTOR_PLS!F3/(ASTOR_BS!F7+ASTOR_BS!F8),"-")</f>
        <v>2.8529428879708392</v>
      </c>
      <c r="G23" s="43">
        <f>IFERROR(ASTOR_PLS!H3/(ASTOR_BS!H7+ASTOR_BS!H8),"-")</f>
        <v>2.8673801856706103</v>
      </c>
      <c r="H23" s="43">
        <f>IFERROR(ASTOR_PLS!I3/(ASTOR_BS!I7+ASTOR_BS!I8),"-")</f>
        <v>2.2763698768539742</v>
      </c>
      <c r="I23" s="43">
        <f>IFERROR(ASTOR_PLS!J3/(ASTOR_BS!J7+ASTOR_BS!J8),"-")</f>
        <v>3.3704303401683395</v>
      </c>
    </row>
    <row r="24" spans="1:9" ht="15" customHeight="1" x14ac:dyDescent="0.2">
      <c r="A24" s="29" t="s">
        <v>216</v>
      </c>
      <c r="B24" s="42" t="s">
        <v>388</v>
      </c>
      <c r="C24" s="42" t="s">
        <v>389</v>
      </c>
      <c r="D24" s="46">
        <f>IFERROR(365/(ASTOR_PLS!B3/(ASTOR_BS!B7+ASTOR_BS!B8)),"-")</f>
        <v>121.60493139749555</v>
      </c>
      <c r="E24" s="46">
        <f>IFERROR(365/(ASTOR_PLS!D3/(ASTOR_BS!D7+ASTOR_BS!D8)),"-")</f>
        <v>89.719503254010377</v>
      </c>
      <c r="F24" s="46">
        <f>IFERROR(365/(ASTOR_PLS!F3/(ASTOR_BS!F7+ASTOR_BS!F8)),"-")</f>
        <v>127.93806757891565</v>
      </c>
      <c r="G24" s="46">
        <f>IFERROR(365/(ASTOR_PLS!H3/(ASTOR_BS!H7+ASTOR_BS!H8)),"-")</f>
        <v>127.29389769241061</v>
      </c>
      <c r="H24" s="46">
        <f>IFERROR(365/(ASTOR_PLS!I3/(ASTOR_BS!I7+ASTOR_BS!I8)),"-")</f>
        <v>160.34301091017917</v>
      </c>
      <c r="I24" s="46">
        <f>IFERROR(365/(ASTOR_PLS!J3/(ASTOR_BS!J7+ASTOR_BS!J8)),"-")</f>
        <v>108.29477638210724</v>
      </c>
    </row>
    <row r="25" spans="1:9" ht="15" customHeight="1" x14ac:dyDescent="0.2">
      <c r="A25" s="29" t="s">
        <v>219</v>
      </c>
      <c r="B25" s="42" t="s">
        <v>390</v>
      </c>
      <c r="C25" s="42" t="s">
        <v>391</v>
      </c>
      <c r="D25" s="43">
        <f>IFERROR(ABS(ASTOR_PLS!B4)/ASTOR_BS!B10,"-")</f>
        <v>2.8538934046182116</v>
      </c>
      <c r="E25" s="43">
        <f>IFERROR(ABS(ASTOR_PLS!D4)/ASTOR_BS!D10,"-")</f>
        <v>6.0839560261445396</v>
      </c>
      <c r="F25" s="43">
        <f>IFERROR(ABS(ASTOR_PLS!F4)/ASTOR_BS!F10,"-")</f>
        <v>6.9017230114876247</v>
      </c>
      <c r="G25" s="43">
        <f>IFERROR(ABS(ASTOR_PLS!H4)/ASTOR_BS!H10,"-")</f>
        <v>4.0842729876470871</v>
      </c>
      <c r="H25" s="43">
        <f>IFERROR(ABS(ASTOR_PLS!I4)/ASTOR_BS!I10,"-")</f>
        <v>4.1154195467622374</v>
      </c>
      <c r="I25" s="43">
        <f>IFERROR(ABS(ASTOR_PLS!J4)/ASTOR_BS!J10,"-")</f>
        <v>2.9508179116260709</v>
      </c>
    </row>
    <row r="26" spans="1:9" ht="15" customHeight="1" x14ac:dyDescent="0.2">
      <c r="A26" s="29" t="s">
        <v>222</v>
      </c>
      <c r="B26" s="42" t="s">
        <v>223</v>
      </c>
      <c r="C26" s="42" t="s">
        <v>392</v>
      </c>
      <c r="D26" s="46">
        <f>IFERROR(365/(ABS(ASTOR_PLS!B4)/ASTOR_BS!B10),"-")</f>
        <v>127.8954565749904</v>
      </c>
      <c r="E26" s="46">
        <f>IFERROR(365/(ABS(ASTOR_PLS!D4)/ASTOR_BS!D10),"-")</f>
        <v>59.993859000868547</v>
      </c>
      <c r="F26" s="46">
        <f>IFERROR(365/(ABS(ASTOR_PLS!F4)/ASTOR_BS!F10),"-")</f>
        <v>52.885344629518315</v>
      </c>
      <c r="G26" s="46">
        <f>IFERROR(365/(ABS(ASTOR_PLS!H4)/ASTOR_BS!H10),"-")</f>
        <v>89.36718997577907</v>
      </c>
      <c r="H26" s="46">
        <f>IFERROR(365/(ABS(ASTOR_PLS!I4)/ASTOR_BS!I10),"-")</f>
        <v>88.690835977381667</v>
      </c>
      <c r="I26" s="46">
        <f>IFERROR(365/(ABS(ASTOR_PLS!J4)/ASTOR_BS!J10),"-")</f>
        <v>123.69451824252481</v>
      </c>
    </row>
    <row r="27" spans="1:9" ht="15" customHeight="1" x14ac:dyDescent="0.2">
      <c r="A27" s="29" t="s">
        <v>225</v>
      </c>
      <c r="B27" s="42" t="s">
        <v>226</v>
      </c>
      <c r="C27" s="42" t="s">
        <v>393</v>
      </c>
      <c r="D27" s="43">
        <f>IFERROR(ASTOR_PLS!B3/ASTOR_BS!B27,"-")</f>
        <v>10.843156792510918</v>
      </c>
      <c r="E27" s="43">
        <f>IFERROR(ASTOR_PLS!D3/ASTOR_BS!D27,"-")</f>
        <v>15.860320648803599</v>
      </c>
      <c r="F27" s="43">
        <f>IFERROR(ASTOR_PLS!F3/ASTOR_BS!F27,"-")</f>
        <v>10.036961565620901</v>
      </c>
      <c r="G27" s="43">
        <f>IFERROR(ASTOR_PLS!H3/ASTOR_BS!H27,"-")</f>
        <v>7.8067859722638779</v>
      </c>
      <c r="H27" s="43">
        <f>IFERROR(ASTOR_PLS!I3/ASTOR_BS!I27,"-")</f>
        <v>6.7662893437928346</v>
      </c>
      <c r="I27" s="43">
        <f>IFERROR(ASTOR_PLS!J3/ASTOR_BS!J27,"-")</f>
        <v>5.4669796190986517</v>
      </c>
    </row>
    <row r="28" spans="1:9" ht="15.75" customHeight="1" x14ac:dyDescent="0.2">
      <c r="A28" s="26" t="s">
        <v>228</v>
      </c>
      <c r="B28" s="44"/>
      <c r="C28" s="44"/>
      <c r="D28" s="26"/>
      <c r="E28" s="26"/>
      <c r="F28" s="26"/>
      <c r="G28" s="26"/>
      <c r="H28" s="26"/>
      <c r="I28" s="26"/>
    </row>
    <row r="29" spans="1:9" ht="15" customHeight="1" x14ac:dyDescent="0.2">
      <c r="A29" s="29" t="s">
        <v>229</v>
      </c>
      <c r="B29" s="42" t="s">
        <v>230</v>
      </c>
      <c r="C29" s="42" t="s">
        <v>231</v>
      </c>
      <c r="D29" s="43">
        <f>IFERROR(ASTOR_CFS!B4/ASTOR_PLS!B23,"-")</f>
        <v>0.35949124451845177</v>
      </c>
      <c r="E29" s="43">
        <f>IFERROR(ASTOR_CFS!D4/ASTOR_PLS!D23,"-")</f>
        <v>1.4051847197973444</v>
      </c>
      <c r="F29" s="43">
        <f>IFERROR(ASTOR_CFS!F4/ASTOR_PLS!F23,"-")</f>
        <v>0.65230868798775898</v>
      </c>
      <c r="G29" s="43">
        <f>IFERROR(ASTOR_CFS!H4/ASTOR_PLS!H23,"-")</f>
        <v>0.30672683783887333</v>
      </c>
      <c r="H29" s="43">
        <f>IFERROR(ASTOR_CFS!I4/ASTOR_PLS!I23,"-")</f>
        <v>-0.45312267593363481</v>
      </c>
      <c r="I29" s="43">
        <f>IFERROR(ASTOR_CFS!J4/ASTOR_PLS!J23,"-")</f>
        <v>-3.5385725582380165E-2</v>
      </c>
    </row>
    <row r="30" spans="1:9" ht="15" customHeight="1" x14ac:dyDescent="0.2">
      <c r="A30" s="29" t="s">
        <v>232</v>
      </c>
      <c r="B30" s="42" t="s">
        <v>233</v>
      </c>
      <c r="C30" s="42" t="s">
        <v>234</v>
      </c>
      <c r="D30" s="43">
        <f>IFERROR(ASTOR_PLS!B13/ABS(ASTOR_PLS!B18),"-")</f>
        <v>7.2373068381063703</v>
      </c>
      <c r="E30" s="43">
        <f>IFERROR(ASTOR_PLS!D13/ABS(ASTOR_PLS!D18),"-")</f>
        <v>8.5455534446646944</v>
      </c>
      <c r="F30" s="43">
        <f>IFERROR(ASTOR_PLS!F13/ABS(ASTOR_PLS!F18),"-")</f>
        <v>6.939917908815052</v>
      </c>
      <c r="G30" s="43">
        <f>IFERROR(ASTOR_PLS!H13/ABS(ASTOR_PLS!H18),"-")</f>
        <v>6.3465702458563076</v>
      </c>
      <c r="H30" s="43">
        <f>IFERROR(ASTOR_PLS!I13/ABS(ASTOR_PLS!I18),"-")</f>
        <v>2.3373410847482714</v>
      </c>
      <c r="I30" s="43">
        <f>IFERROR(ASTOR_PLS!J13/ABS(ASTOR_PLS!J18),"-")</f>
        <v>3.7801223845242795</v>
      </c>
    </row>
    <row r="31" spans="1:9" ht="15" customHeight="1" x14ac:dyDescent="0.2">
      <c r="A31" s="29" t="s">
        <v>235</v>
      </c>
      <c r="B31" s="42" t="s">
        <v>394</v>
      </c>
      <c r="C31" s="42" t="s">
        <v>395</v>
      </c>
      <c r="D31" s="45">
        <f>IFERROR((ASTOR_CFS!B4+ASTOR_CFS!B14)/ASTOR_PLS!B3,"-")</f>
        <v>-0.12005210881361689</v>
      </c>
      <c r="E31" s="45">
        <f>IFERROR((ASTOR_CFS!D4+ASTOR_CFS!D14)/ASTOR_PLS!D3,"-")</f>
        <v>0.10799596004667956</v>
      </c>
      <c r="F31" s="45">
        <f>IFERROR((ASTOR_CFS!F4+ASTOR_CFS!F14)/ASTOR_PLS!F3,"-")</f>
        <v>5.7062484318084701E-2</v>
      </c>
      <c r="G31" s="45">
        <f>IFERROR((ASTOR_CFS!H4+ASTOR_CFS!H14)/ASTOR_PLS!H3,"-")</f>
        <v>5.0116653069429237E-2</v>
      </c>
      <c r="H31" s="45">
        <f>IFERROR((ASTOR_CFS!I4+ASTOR_CFS!I14)/ASTOR_PLS!I3,"-")</f>
        <v>-0.13331570661274667</v>
      </c>
      <c r="I31" s="45">
        <f>IFERROR((ASTOR_CFS!J4+ASTOR_CFS!J14)/ASTOR_PLS!J3,"-")</f>
        <v>-0.10482852303270507</v>
      </c>
    </row>
    <row r="32" spans="1:9" ht="15.75" customHeight="1" x14ac:dyDescent="0.2">
      <c r="A32" s="26" t="s">
        <v>238</v>
      </c>
      <c r="B32" s="44"/>
      <c r="C32" s="44"/>
      <c r="D32" s="26"/>
      <c r="E32" s="26"/>
      <c r="F32" s="26"/>
      <c r="G32" s="26"/>
      <c r="H32" s="26"/>
      <c r="I32" s="26"/>
    </row>
    <row r="33" spans="1:13" ht="15" customHeight="1" x14ac:dyDescent="0.2">
      <c r="A33" s="29" t="s">
        <v>396</v>
      </c>
      <c r="B33" s="42" t="s">
        <v>397</v>
      </c>
      <c r="C33" s="42" t="s">
        <v>208</v>
      </c>
      <c r="D33" s="30">
        <v>998</v>
      </c>
      <c r="E33" s="30">
        <v>998</v>
      </c>
      <c r="F33" s="30">
        <v>998</v>
      </c>
      <c r="G33" s="30">
        <v>850</v>
      </c>
      <c r="H33" s="30">
        <v>850</v>
      </c>
      <c r="I33" s="30">
        <v>192.6</v>
      </c>
    </row>
    <row r="34" spans="1:13" ht="15" customHeight="1" x14ac:dyDescent="0.2">
      <c r="A34" s="29" t="s">
        <v>241</v>
      </c>
      <c r="B34" s="42" t="s">
        <v>398</v>
      </c>
      <c r="C34" s="42" t="s">
        <v>208</v>
      </c>
      <c r="D34" s="47">
        <f>IFERROR(ASTOR_PLS!B23/998000,"-")</f>
        <v>7.6842785571142285</v>
      </c>
      <c r="E34" s="47">
        <f>IFERROR(ASTOR_PLS!D23/998000,"-")</f>
        <v>5.0349509018036072</v>
      </c>
      <c r="F34" s="47">
        <f>IFERROR(ASTOR_PLS!F23/998000,"-")</f>
        <v>4.607541082164329</v>
      </c>
      <c r="G34" s="47">
        <f>IFERROR(ASTOR_PLS!H23/850000,"-")</f>
        <v>2.1494235294117647</v>
      </c>
      <c r="H34" s="47">
        <f>IFERROR(ASTOR_PLS!I23/850000,"-")</f>
        <v>0.60903647058823529</v>
      </c>
      <c r="I34" s="47">
        <f>IFERROR(ASTOR_PLS!J23/192600,"-")</f>
        <v>1.2015628245067498</v>
      </c>
    </row>
    <row r="35" spans="1:13" ht="15" customHeight="1" x14ac:dyDescent="0.2">
      <c r="A35" s="29" t="s">
        <v>243</v>
      </c>
      <c r="B35" s="42" t="s">
        <v>244</v>
      </c>
      <c r="C35" s="42" t="s">
        <v>208</v>
      </c>
      <c r="D35" s="47">
        <f>IFERROR(ASTOR_BS!B50/998000,"-")</f>
        <v>33.346826653306614</v>
      </c>
      <c r="E35" s="47">
        <f>IFERROR(ASTOR_BS!D50/998000,"-")</f>
        <v>20.866070140280563</v>
      </c>
      <c r="F35" s="47">
        <f>IFERROR(ASTOR_BS!F50/998000,"-")</f>
        <v>12.263340681362726</v>
      </c>
      <c r="G35" s="47">
        <f>IFERROR(ASTOR_BS!H50/850000,"-")</f>
        <v>3.8951364705882354</v>
      </c>
      <c r="H35" s="47">
        <f>IFERROR(ASTOR_BS!I50/850000,"-")</f>
        <v>1.2924411764705883</v>
      </c>
      <c r="I35" s="47">
        <f>IFERROR(ASTOR_BS!J50/192600,"-")</f>
        <v>2.9719158878504675</v>
      </c>
    </row>
    <row r="36" spans="1:13" ht="15" customHeight="1" x14ac:dyDescent="0.2">
      <c r="A36" s="29" t="s">
        <v>245</v>
      </c>
      <c r="B36" s="42" t="s">
        <v>246</v>
      </c>
      <c r="C36" s="42" t="s">
        <v>208</v>
      </c>
      <c r="D36" s="47">
        <f>IFERROR(ABS(ASTOR_CFS!B22)/998000,"-")</f>
        <v>1.6285230460921845</v>
      </c>
      <c r="E36" s="47">
        <f>IFERROR(ABS(ASTOR_CFS!D22)/998000,"-")</f>
        <v>1.8612965931863727</v>
      </c>
      <c r="F36" s="47">
        <f>IFERROR(ABS(ASTOR_CFS!F22)/998000,"-")</f>
        <v>0</v>
      </c>
      <c r="G36" s="47">
        <f>IFERROR(ABS(ASTOR_CFS!H22)/850000,"-")</f>
        <v>0</v>
      </c>
      <c r="H36" s="47">
        <f>IFERROR(ABS(ASTOR_CFS!I22)/850000,"-")</f>
        <v>0</v>
      </c>
      <c r="I36" s="47">
        <f>IFERROR(ABS(ASTOR_CFS!J22)/192600,"-")</f>
        <v>0</v>
      </c>
    </row>
    <row r="37" spans="1:13" ht="15.75" customHeight="1" x14ac:dyDescent="0.2">
      <c r="A37" s="26" t="s">
        <v>247</v>
      </c>
      <c r="B37" s="44"/>
      <c r="C37" s="44"/>
      <c r="D37" s="26"/>
      <c r="E37" s="26"/>
      <c r="F37" s="26"/>
      <c r="G37" s="26"/>
      <c r="H37" s="26"/>
      <c r="I37" s="26"/>
    </row>
    <row r="38" spans="1:13" ht="15" customHeight="1" x14ac:dyDescent="0.2">
      <c r="A38" s="29" t="s">
        <v>248</v>
      </c>
      <c r="B38" s="42" t="s">
        <v>399</v>
      </c>
      <c r="C38" s="42" t="s">
        <v>400</v>
      </c>
      <c r="D38" s="47">
        <v>159.80000000000001</v>
      </c>
      <c r="E38" s="47">
        <v>117.9</v>
      </c>
      <c r="F38" s="47">
        <v>38.840000000000003</v>
      </c>
      <c r="G38" s="47" t="s">
        <v>401</v>
      </c>
      <c r="H38" s="47" t="s">
        <v>401</v>
      </c>
      <c r="I38" s="47" t="s">
        <v>401</v>
      </c>
      <c r="M38" s="48" t="s">
        <v>402</v>
      </c>
    </row>
    <row r="39" spans="1:13" ht="15" customHeight="1" x14ac:dyDescent="0.2">
      <c r="A39" s="29" t="s">
        <v>252</v>
      </c>
      <c r="B39" s="42" t="s">
        <v>403</v>
      </c>
      <c r="C39" s="42" t="s">
        <v>208</v>
      </c>
      <c r="D39" s="49">
        <v>114670200</v>
      </c>
      <c r="E39" s="49">
        <f>E38*998*1000</f>
        <v>117664200.00000001</v>
      </c>
      <c r="F39" s="49">
        <f>F38*998*1000</f>
        <v>38762320.000000007</v>
      </c>
      <c r="G39" s="30" t="s">
        <v>254</v>
      </c>
      <c r="H39" s="30" t="s">
        <v>254</v>
      </c>
      <c r="I39" s="30" t="s">
        <v>254</v>
      </c>
    </row>
    <row r="40" spans="1:13" ht="15" customHeight="1" x14ac:dyDescent="0.2">
      <c r="A40" s="29" t="s">
        <v>255</v>
      </c>
      <c r="B40" s="42" t="s">
        <v>404</v>
      </c>
      <c r="C40" s="42" t="s">
        <v>405</v>
      </c>
      <c r="D40" s="43">
        <f>IFERROR(D39/(ASTOR_PLS!B23),"-")</f>
        <v>14.952607345763608</v>
      </c>
      <c r="E40" s="43">
        <f>IFERROR(E39/(ASTOR_PLS!D23),"-")</f>
        <v>23.416315729666039</v>
      </c>
      <c r="F40" s="43">
        <f>IFERROR(F39/(ASTOR_PLS!F23),"-")</f>
        <v>8.4296589671980637</v>
      </c>
      <c r="G40" s="43" t="s">
        <v>254</v>
      </c>
      <c r="H40" s="43" t="s">
        <v>254</v>
      </c>
      <c r="I40" s="43" t="s">
        <v>254</v>
      </c>
    </row>
    <row r="41" spans="1:13" ht="15" customHeight="1" x14ac:dyDescent="0.2">
      <c r="A41" s="29" t="s">
        <v>259</v>
      </c>
      <c r="B41" s="42" t="s">
        <v>406</v>
      </c>
      <c r="C41" s="42" t="s">
        <v>407</v>
      </c>
      <c r="D41" s="43">
        <f>IFERROR(D39/(ASTOR_BS!B50),"-")</f>
        <v>3.4456052203877912</v>
      </c>
      <c r="E41" s="43">
        <f>IFERROR(E39/(ASTOR_BS!D50),"-")</f>
        <v>5.6503212731180223</v>
      </c>
      <c r="F41" s="43">
        <f>IFERROR(F39/(ASTOR_BS!F50),"-")</f>
        <v>3.1671630927637278</v>
      </c>
      <c r="G41" s="43" t="s">
        <v>254</v>
      </c>
      <c r="H41" s="43" t="s">
        <v>254</v>
      </c>
      <c r="I41" s="43" t="s">
        <v>254</v>
      </c>
    </row>
    <row r="42" spans="1:13" ht="15" customHeight="1" x14ac:dyDescent="0.2">
      <c r="A42" s="29" t="s">
        <v>262</v>
      </c>
      <c r="B42" s="42" t="s">
        <v>263</v>
      </c>
      <c r="C42" s="42" t="s">
        <v>264</v>
      </c>
      <c r="D42" s="43">
        <f>IFERROR((D39+(ASTOR_BS!B25+ASTOR_BS!B26+ASTOR_BS!B37-ASTOR_BS!B5-ASTOR_BS!B6-ASTOR_BS!B16))/ASTOR_PLS!B13,"-")</f>
        <v>9.6694202656852184</v>
      </c>
      <c r="E42" s="43">
        <f>IFERROR((E39+(ASTOR_BS!D25+ASTOR_BS!D26+ASTOR_BS!D37-ASTOR_BS!D5-ASTOR_BS!D6-ASTOR_BS!D16))/ASTOR_PLS!D13,"-")</f>
        <v>14.842060512468116</v>
      </c>
      <c r="F42" s="43">
        <f>IFERROR((F39+(ASTOR_BS!F25+ASTOR_BS!F26+ASTOR_BS!F37-ASTOR_BS!F5-ASTOR_BS!F6-ASTOR_BS!F16))/ASTOR_PLS!F13,"-")</f>
        <v>6.2653203535905106</v>
      </c>
      <c r="G42" s="43" t="s">
        <v>254</v>
      </c>
      <c r="H42" s="43" t="s">
        <v>254</v>
      </c>
      <c r="I42" s="43" t="s">
        <v>254</v>
      </c>
    </row>
    <row r="43" spans="1:13" ht="15" customHeight="1" x14ac:dyDescent="0.2">
      <c r="A43" s="29" t="s">
        <v>265</v>
      </c>
      <c r="B43" s="42" t="s">
        <v>408</v>
      </c>
      <c r="C43" s="42" t="s">
        <v>267</v>
      </c>
      <c r="D43" s="45">
        <f>IFERROR(ABS(ASTOR_CFS!B22)/998000/114.9,"-")</f>
        <v>1.4173394657025103E-2</v>
      </c>
      <c r="E43" s="45">
        <f>IFERROR(ABS(ASTOR_CFS!D22)/998000/110,"-")</f>
        <v>1.6920878119876116E-2</v>
      </c>
      <c r="F43" s="45">
        <f>IFERROR(ABS(ASTOR_CFS!F22)/998000/95,"-")</f>
        <v>0</v>
      </c>
      <c r="G43" s="45" t="s">
        <v>254</v>
      </c>
      <c r="H43" s="45" t="s">
        <v>254</v>
      </c>
      <c r="I43" s="45" t="s">
        <v>254</v>
      </c>
    </row>
    <row r="44" spans="1:13" ht="15" customHeight="1" x14ac:dyDescent="0.2">
      <c r="A44" s="33"/>
      <c r="B44" s="33"/>
      <c r="C44" s="33"/>
      <c r="D44" s="33"/>
      <c r="E44" s="33"/>
      <c r="F44" s="33"/>
      <c r="G44" s="33"/>
      <c r="H44" s="33"/>
      <c r="I44" s="33"/>
    </row>
    <row r="45" spans="1:13" ht="15" customHeight="1" x14ac:dyDescent="0.2">
      <c r="A45" s="33"/>
      <c r="B45" s="33"/>
      <c r="C45" s="33"/>
      <c r="D45" s="50"/>
      <c r="E45" s="50"/>
      <c r="F45" s="50"/>
      <c r="G45" s="50"/>
      <c r="H45" s="50"/>
      <c r="I45" s="50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2" sqref="A12"/>
    </sheetView>
  </sheetViews>
  <sheetFormatPr baseColWidth="10" defaultColWidth="8.6640625" defaultRowHeight="15" x14ac:dyDescent="0.2"/>
  <cols>
    <col min="1" max="1" width="37" customWidth="1"/>
    <col min="2" max="2" width="14" customWidth="1"/>
    <col min="3" max="10" width="13" customWidth="1"/>
    <col min="11" max="11" width="37" customWidth="1"/>
    <col min="12" max="20" width="12" customWidth="1"/>
  </cols>
  <sheetData>
    <row r="1" spans="1:20" ht="21.75" customHeight="1" x14ac:dyDescent="0.2">
      <c r="A1" s="256" t="s">
        <v>409</v>
      </c>
      <c r="B1" s="256"/>
      <c r="C1" s="256"/>
      <c r="D1" s="256"/>
      <c r="E1" s="256"/>
      <c r="F1" s="256"/>
      <c r="G1" s="256"/>
      <c r="H1" s="256"/>
      <c r="I1" s="256"/>
      <c r="J1" s="256"/>
      <c r="L1" s="254" t="s">
        <v>275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51" t="s">
        <v>2</v>
      </c>
      <c r="B2" s="52" t="s">
        <v>3</v>
      </c>
      <c r="C2" s="52" t="s">
        <v>4</v>
      </c>
      <c r="D2" s="52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7"/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.75" customHeight="1" x14ac:dyDescent="0.2">
      <c r="A3" s="53" t="s">
        <v>276</v>
      </c>
      <c r="B3" s="53"/>
      <c r="C3" s="53"/>
      <c r="D3" s="53"/>
      <c r="E3" s="53"/>
      <c r="F3" s="53"/>
      <c r="G3" s="53"/>
      <c r="H3" s="53"/>
      <c r="I3" s="53"/>
      <c r="J3" s="53"/>
    </row>
    <row r="4" spans="1:20" ht="15.75" customHeight="1" x14ac:dyDescent="0.2">
      <c r="A4" s="53" t="s">
        <v>277</v>
      </c>
      <c r="B4" s="53"/>
      <c r="C4" s="53"/>
      <c r="D4" s="53"/>
      <c r="E4" s="53"/>
      <c r="F4" s="53"/>
      <c r="G4" s="53"/>
      <c r="H4" s="53"/>
      <c r="I4" s="53"/>
      <c r="J4" s="53"/>
    </row>
    <row r="5" spans="1:20" ht="15" customHeight="1" x14ac:dyDescent="0.2">
      <c r="A5" s="54" t="s">
        <v>410</v>
      </c>
      <c r="B5" s="55">
        <v>6520056</v>
      </c>
      <c r="C5" s="55">
        <v>1380113</v>
      </c>
      <c r="D5" s="55">
        <v>1054407</v>
      </c>
      <c r="E5" s="55">
        <v>1147651</v>
      </c>
      <c r="F5" s="55">
        <v>794882</v>
      </c>
      <c r="G5" s="55">
        <v>1544463</v>
      </c>
      <c r="H5" s="55">
        <v>937345</v>
      </c>
      <c r="I5" s="55">
        <v>524702</v>
      </c>
      <c r="J5" s="55">
        <v>314172</v>
      </c>
      <c r="K5" s="56"/>
      <c r="L5" s="10">
        <f t="shared" ref="L5:T5" si="0">IFERROR(B5/B24,"")</f>
        <v>5.031277920651811E-2</v>
      </c>
      <c r="M5" s="10">
        <f t="shared" si="0"/>
        <v>1.2738448735167765E-2</v>
      </c>
      <c r="N5" s="10">
        <f t="shared" si="0"/>
        <v>1.2738452054942473E-2</v>
      </c>
      <c r="O5" s="10">
        <f t="shared" si="0"/>
        <v>1.4243598143350803E-2</v>
      </c>
      <c r="P5" s="10">
        <f t="shared" si="0"/>
        <v>1.4243594090127491E-2</v>
      </c>
      <c r="Q5" s="10">
        <f t="shared" si="0"/>
        <v>2.7977525855059502E-2</v>
      </c>
      <c r="R5" s="10">
        <f t="shared" si="0"/>
        <v>2.8205666217116874E-2</v>
      </c>
      <c r="S5" s="10">
        <f t="shared" si="0"/>
        <v>2.540986754327712E-2</v>
      </c>
      <c r="T5" s="10">
        <f t="shared" si="0"/>
        <v>3.3061361336059018E-2</v>
      </c>
    </row>
    <row r="6" spans="1:20" ht="15" customHeight="1" x14ac:dyDescent="0.2">
      <c r="A6" s="54" t="s">
        <v>411</v>
      </c>
      <c r="B6" s="55">
        <v>0</v>
      </c>
      <c r="C6" s="55">
        <v>0</v>
      </c>
      <c r="D6" s="55">
        <v>0</v>
      </c>
      <c r="E6" s="55">
        <v>1265188</v>
      </c>
      <c r="F6" s="55">
        <v>876290</v>
      </c>
      <c r="G6" s="55">
        <v>504878</v>
      </c>
      <c r="H6" s="55">
        <v>306414</v>
      </c>
      <c r="I6" s="55">
        <v>592983</v>
      </c>
      <c r="J6" s="55">
        <v>0</v>
      </c>
      <c r="K6" s="56"/>
      <c r="L6" s="10">
        <f t="shared" ref="L6:T6" si="1">IFERROR(B6/B24,"")</f>
        <v>0</v>
      </c>
      <c r="M6" s="10">
        <f t="shared" si="1"/>
        <v>0</v>
      </c>
      <c r="N6" s="10">
        <f t="shared" si="1"/>
        <v>0</v>
      </c>
      <c r="O6" s="10">
        <f t="shared" si="1"/>
        <v>1.5702360253935836E-2</v>
      </c>
      <c r="P6" s="10">
        <f t="shared" si="1"/>
        <v>1.5702354645391162E-2</v>
      </c>
      <c r="Q6" s="10">
        <f t="shared" si="1"/>
        <v>9.1457272195259662E-3</v>
      </c>
      <c r="R6" s="10">
        <f t="shared" si="1"/>
        <v>9.2203094999724223E-3</v>
      </c>
      <c r="S6" s="10">
        <f t="shared" si="1"/>
        <v>2.8716527639336416E-2</v>
      </c>
      <c r="T6" s="10">
        <f t="shared" si="1"/>
        <v>0</v>
      </c>
    </row>
    <row r="7" spans="1:20" ht="15" customHeight="1" x14ac:dyDescent="0.2">
      <c r="A7" s="54" t="s">
        <v>412</v>
      </c>
      <c r="B7" s="55">
        <v>7647990</v>
      </c>
      <c r="C7" s="55">
        <v>13062173</v>
      </c>
      <c r="D7" s="55">
        <v>9979504</v>
      </c>
      <c r="E7" s="55">
        <v>19534752</v>
      </c>
      <c r="F7" s="55">
        <v>13530095</v>
      </c>
      <c r="G7" s="55">
        <v>15187559</v>
      </c>
      <c r="H7" s="55">
        <v>9217430</v>
      </c>
      <c r="I7" s="55">
        <v>5327704</v>
      </c>
      <c r="J7" s="55">
        <v>2705620</v>
      </c>
      <c r="L7" s="10">
        <f t="shared" ref="L7:T7" si="2">IFERROR(B7/B24,"")</f>
        <v>5.9016614618595059E-2</v>
      </c>
      <c r="M7" s="10">
        <f t="shared" si="2"/>
        <v>0.12056391116552957</v>
      </c>
      <c r="N7" s="10">
        <f t="shared" si="2"/>
        <v>0.1205639124513652</v>
      </c>
      <c r="O7" s="10">
        <f t="shared" si="2"/>
        <v>0.24244753615691389</v>
      </c>
      <c r="P7" s="10">
        <f t="shared" si="2"/>
        <v>0.24244753457854565</v>
      </c>
      <c r="Q7" s="10">
        <f t="shared" si="2"/>
        <v>0.27511848752462292</v>
      </c>
      <c r="R7" s="10">
        <f t="shared" si="2"/>
        <v>0.27736186138469782</v>
      </c>
      <c r="S7" s="10">
        <f t="shared" si="2"/>
        <v>0.25800597853598362</v>
      </c>
      <c r="T7" s="10">
        <f t="shared" si="2"/>
        <v>0.28472136427838252</v>
      </c>
    </row>
    <row r="8" spans="1:20" ht="15" customHeight="1" x14ac:dyDescent="0.2">
      <c r="A8" s="54" t="s">
        <v>413</v>
      </c>
      <c r="B8" s="55">
        <v>94286</v>
      </c>
      <c r="C8" s="55">
        <v>95876</v>
      </c>
      <c r="D8" s="55">
        <v>73249</v>
      </c>
      <c r="E8" s="55">
        <v>82452</v>
      </c>
      <c r="F8" s="55">
        <v>57107</v>
      </c>
      <c r="G8" s="55">
        <v>96076</v>
      </c>
      <c r="H8" s="55">
        <v>58309</v>
      </c>
      <c r="I8" s="55">
        <v>100823</v>
      </c>
      <c r="J8" s="55">
        <v>76414</v>
      </c>
      <c r="L8" s="10">
        <f t="shared" ref="L8:T8" si="3">IFERROR(B8/B24,"")</f>
        <v>7.2756901171796174E-4</v>
      </c>
      <c r="M8" s="10">
        <f t="shared" si="3"/>
        <v>8.8493587911493081E-4</v>
      </c>
      <c r="N8" s="10">
        <f t="shared" si="3"/>
        <v>8.8493235967940394E-4</v>
      </c>
      <c r="O8" s="10">
        <f t="shared" si="3"/>
        <v>1.023319070096711E-3</v>
      </c>
      <c r="P8" s="10">
        <f t="shared" si="3"/>
        <v>1.0233077710967296E-3</v>
      </c>
      <c r="Q8" s="10">
        <f t="shared" si="3"/>
        <v>1.7403905267077923E-3</v>
      </c>
      <c r="R8" s="10">
        <f t="shared" si="3"/>
        <v>1.7545772276524308E-3</v>
      </c>
      <c r="S8" s="10">
        <f t="shared" si="3"/>
        <v>4.8825792074660077E-3</v>
      </c>
      <c r="T8" s="10">
        <f t="shared" si="3"/>
        <v>8.0412986043747175E-3</v>
      </c>
    </row>
    <row r="9" spans="1:20" ht="15" customHeight="1" x14ac:dyDescent="0.2">
      <c r="A9" s="54" t="s">
        <v>414</v>
      </c>
      <c r="B9" s="55">
        <v>0</v>
      </c>
      <c r="C9" s="55">
        <v>6210</v>
      </c>
      <c r="D9" s="55">
        <v>4745</v>
      </c>
      <c r="E9" s="55">
        <v>37495</v>
      </c>
      <c r="F9" s="55">
        <v>25969</v>
      </c>
      <c r="G9" s="55">
        <v>37203</v>
      </c>
      <c r="H9" s="55">
        <v>22579</v>
      </c>
      <c r="I9" s="55">
        <v>3859</v>
      </c>
      <c r="J9" s="55">
        <v>2149</v>
      </c>
      <c r="L9" s="10">
        <f t="shared" ref="L9:T9" si="4">IFERROR(B9/B24,"")</f>
        <v>0</v>
      </c>
      <c r="M9" s="10">
        <f t="shared" si="4"/>
        <v>5.7318325851138141E-5</v>
      </c>
      <c r="N9" s="10">
        <f t="shared" si="4"/>
        <v>5.7325069921483863E-5</v>
      </c>
      <c r="O9" s="10">
        <f t="shared" si="4"/>
        <v>4.6535376380531918E-4</v>
      </c>
      <c r="P9" s="10">
        <f t="shared" si="4"/>
        <v>4.6534189342131385E-4</v>
      </c>
      <c r="Q9" s="10">
        <f t="shared" si="4"/>
        <v>6.7392219456586448E-4</v>
      </c>
      <c r="R9" s="10">
        <f t="shared" si="4"/>
        <v>6.7942511830359348E-4</v>
      </c>
      <c r="S9" s="10">
        <f t="shared" si="4"/>
        <v>1.8688070342690976E-4</v>
      </c>
      <c r="T9" s="10">
        <f t="shared" si="4"/>
        <v>2.2614639595887228E-4</v>
      </c>
    </row>
    <row r="10" spans="1:20" ht="15" customHeight="1" x14ac:dyDescent="0.2">
      <c r="A10" s="54" t="s">
        <v>415</v>
      </c>
      <c r="B10" s="55">
        <v>2224109</v>
      </c>
      <c r="C10" s="55">
        <v>1803785</v>
      </c>
      <c r="D10" s="55">
        <v>1378092</v>
      </c>
      <c r="E10" s="55">
        <v>1293612</v>
      </c>
      <c r="F10" s="55">
        <v>895977</v>
      </c>
      <c r="G10" s="55">
        <v>320594</v>
      </c>
      <c r="H10" s="55">
        <v>244346</v>
      </c>
      <c r="I10" s="55">
        <v>225353</v>
      </c>
      <c r="J10" s="55">
        <v>138323</v>
      </c>
      <c r="L10" s="10">
        <f t="shared" ref="L10:T10" si="5">IFERROR(B10/B24,"")</f>
        <v>1.7162598764217638E-2</v>
      </c>
      <c r="M10" s="10">
        <f t="shared" si="5"/>
        <v>1.6648943058839807E-2</v>
      </c>
      <c r="N10" s="10">
        <f t="shared" si="5"/>
        <v>1.6648939991198639E-2</v>
      </c>
      <c r="O10" s="10">
        <f t="shared" si="5"/>
        <v>1.605513303383722E-2</v>
      </c>
      <c r="P10" s="10">
        <f t="shared" si="5"/>
        <v>1.6055128562591881E-2</v>
      </c>
      <c r="Q10" s="10">
        <f t="shared" si="5"/>
        <v>5.8074728394121103E-3</v>
      </c>
      <c r="R10" s="10">
        <f t="shared" si="5"/>
        <v>7.3526201318486143E-3</v>
      </c>
      <c r="S10" s="10">
        <f t="shared" si="5"/>
        <v>1.09132228969589E-2</v>
      </c>
      <c r="T10" s="10">
        <f t="shared" si="5"/>
        <v>1.4556187961014003E-2</v>
      </c>
    </row>
    <row r="11" spans="1:20" ht="15" customHeight="1" x14ac:dyDescent="0.2">
      <c r="A11" s="54" t="s">
        <v>416</v>
      </c>
      <c r="B11" s="55">
        <v>628400</v>
      </c>
      <c r="C11" s="55">
        <v>1131250</v>
      </c>
      <c r="D11" s="55">
        <v>864275</v>
      </c>
      <c r="E11" s="55">
        <v>617527</v>
      </c>
      <c r="F11" s="55">
        <v>427710</v>
      </c>
      <c r="G11" s="55">
        <v>543953</v>
      </c>
      <c r="H11" s="55">
        <v>282517</v>
      </c>
      <c r="I11" s="55">
        <v>145129</v>
      </c>
      <c r="J11" s="55">
        <v>116007</v>
      </c>
      <c r="L11" s="10">
        <f t="shared" ref="L11:T11" si="6">IFERROR(B11/B24,"")</f>
        <v>4.8491225310604664E-3</v>
      </c>
      <c r="M11" s="10">
        <f t="shared" si="6"/>
        <v>1.0441442209194851E-2</v>
      </c>
      <c r="N11" s="10">
        <f t="shared" si="6"/>
        <v>1.0441438315361531E-2</v>
      </c>
      <c r="O11" s="10">
        <f t="shared" si="6"/>
        <v>7.6641822563383736E-3</v>
      </c>
      <c r="P11" s="10">
        <f t="shared" si="6"/>
        <v>7.6641911985532813E-3</v>
      </c>
      <c r="Q11" s="10">
        <f t="shared" si="6"/>
        <v>9.8535601833369801E-3</v>
      </c>
      <c r="R11" s="10">
        <f t="shared" si="6"/>
        <v>8.5012244186091646E-3</v>
      </c>
      <c r="S11" s="10">
        <f t="shared" si="6"/>
        <v>7.0281963222710514E-3</v>
      </c>
      <c r="T11" s="10">
        <f t="shared" si="6"/>
        <v>1.2207801282457374E-2</v>
      </c>
    </row>
    <row r="12" spans="1:20" ht="15" customHeight="1" x14ac:dyDescent="0.2">
      <c r="A12" s="54" t="s">
        <v>417</v>
      </c>
      <c r="B12" s="55">
        <v>327065</v>
      </c>
      <c r="C12" s="55">
        <v>51371</v>
      </c>
      <c r="D12" s="55">
        <v>39247</v>
      </c>
      <c r="E12" s="55">
        <v>34010</v>
      </c>
      <c r="F12" s="55">
        <v>23556</v>
      </c>
      <c r="G12" s="55">
        <v>244376</v>
      </c>
      <c r="H12" s="55">
        <v>148313</v>
      </c>
      <c r="I12" s="55">
        <v>991</v>
      </c>
      <c r="J12" s="55">
        <v>37623</v>
      </c>
      <c r="L12" s="10">
        <f t="shared" ref="L12:T12" si="7">IFERROR(B12/B24,"")</f>
        <v>2.523835551593398E-3</v>
      </c>
      <c r="M12" s="10">
        <f t="shared" si="7"/>
        <v>4.741545438484408E-4</v>
      </c>
      <c r="N12" s="10">
        <f t="shared" si="7"/>
        <v>4.7414900299441037E-4</v>
      </c>
      <c r="O12" s="10">
        <f t="shared" si="7"/>
        <v>4.2210112033654902E-4</v>
      </c>
      <c r="P12" s="10">
        <f t="shared" si="7"/>
        <v>4.2210303213186759E-4</v>
      </c>
      <c r="Q12" s="10">
        <f t="shared" si="7"/>
        <v>4.4268045646648846E-3</v>
      </c>
      <c r="R12" s="10">
        <f t="shared" si="7"/>
        <v>4.4628893029346238E-3</v>
      </c>
      <c r="S12" s="10">
        <f t="shared" si="7"/>
        <v>4.7991390799706549E-5</v>
      </c>
      <c r="T12" s="10">
        <f t="shared" si="7"/>
        <v>3.9591930456773627E-3</v>
      </c>
    </row>
    <row r="13" spans="1:20" ht="15" customHeight="1" x14ac:dyDescent="0.2">
      <c r="A13" s="54" t="s">
        <v>418</v>
      </c>
      <c r="B13" s="55">
        <v>2548952</v>
      </c>
      <c r="C13" s="55">
        <v>1859740</v>
      </c>
      <c r="D13" s="55">
        <v>1420842</v>
      </c>
      <c r="E13" s="55">
        <v>662779</v>
      </c>
      <c r="F13" s="55">
        <v>459052</v>
      </c>
      <c r="G13" s="55">
        <v>327645</v>
      </c>
      <c r="H13" s="55">
        <v>198850</v>
      </c>
      <c r="I13" s="55">
        <v>207556</v>
      </c>
      <c r="J13" s="55">
        <v>73475</v>
      </c>
      <c r="L13" s="10">
        <f t="shared" ref="L13:T13" si="8">IFERROR(B13/B24,"")</f>
        <v>1.966928799139344E-2</v>
      </c>
      <c r="M13" s="10">
        <f t="shared" si="8"/>
        <v>1.7165407941770634E-2</v>
      </c>
      <c r="N13" s="10">
        <f t="shared" si="8"/>
        <v>1.7165409272366906E-2</v>
      </c>
      <c r="O13" s="10">
        <f t="shared" si="8"/>
        <v>8.2258088337411831E-3</v>
      </c>
      <c r="P13" s="10">
        <f t="shared" si="8"/>
        <v>8.2258125787993755E-3</v>
      </c>
      <c r="Q13" s="10">
        <f t="shared" si="8"/>
        <v>5.9351997806234083E-3</v>
      </c>
      <c r="R13" s="10">
        <f t="shared" si="8"/>
        <v>5.983599130814898E-3</v>
      </c>
      <c r="S13" s="10">
        <f t="shared" si="8"/>
        <v>1.0051363379237026E-2</v>
      </c>
      <c r="T13" s="10">
        <f t="shared" si="8"/>
        <v>7.7320178888218433E-3</v>
      </c>
    </row>
    <row r="14" spans="1:20" ht="15.75" customHeight="1" x14ac:dyDescent="0.2">
      <c r="A14" s="57" t="s">
        <v>56</v>
      </c>
      <c r="B14" s="58">
        <f t="shared" ref="B14:J14" si="9">SUM(B5:B13)</f>
        <v>19990858</v>
      </c>
      <c r="C14" s="58">
        <f t="shared" si="9"/>
        <v>19390518</v>
      </c>
      <c r="D14" s="58">
        <f t="shared" si="9"/>
        <v>14814361</v>
      </c>
      <c r="E14" s="58">
        <f t="shared" si="9"/>
        <v>24675466</v>
      </c>
      <c r="F14" s="58">
        <f t="shared" si="9"/>
        <v>17090638</v>
      </c>
      <c r="G14" s="58">
        <f t="shared" si="9"/>
        <v>18806747</v>
      </c>
      <c r="H14" s="58">
        <f t="shared" si="9"/>
        <v>11416103</v>
      </c>
      <c r="I14" s="58">
        <f t="shared" si="9"/>
        <v>7129100</v>
      </c>
      <c r="J14" s="58">
        <f t="shared" si="9"/>
        <v>3463783</v>
      </c>
      <c r="L14" s="59">
        <f t="shared" ref="L14:T14" si="10">IFERROR(B14/B24,"")</f>
        <v>0.15426180767509606</v>
      </c>
      <c r="M14" s="59">
        <f t="shared" si="10"/>
        <v>0.17897456185931715</v>
      </c>
      <c r="N14" s="59">
        <f t="shared" si="10"/>
        <v>0.17897455851783006</v>
      </c>
      <c r="O14" s="59">
        <f t="shared" si="10"/>
        <v>0.3062493926323559</v>
      </c>
      <c r="P14" s="59">
        <f t="shared" si="10"/>
        <v>0.30624936835065875</v>
      </c>
      <c r="Q14" s="59">
        <f t="shared" si="10"/>
        <v>0.34067909068851943</v>
      </c>
      <c r="R14" s="59">
        <f t="shared" si="10"/>
        <v>0.34352217243195043</v>
      </c>
      <c r="S14" s="59">
        <f t="shared" si="10"/>
        <v>0.3452426076187568</v>
      </c>
      <c r="T14" s="59">
        <f t="shared" si="10"/>
        <v>0.3645053707927457</v>
      </c>
    </row>
    <row r="15" spans="1:20" ht="15.75" customHeight="1" x14ac:dyDescent="0.2">
      <c r="A15" s="53" t="s">
        <v>284</v>
      </c>
      <c r="B15" s="53"/>
      <c r="C15" s="53"/>
      <c r="D15" s="53"/>
      <c r="E15" s="53"/>
      <c r="F15" s="53"/>
      <c r="G15" s="53"/>
      <c r="H15" s="53"/>
      <c r="I15" s="53"/>
      <c r="J15" s="53"/>
    </row>
    <row r="16" spans="1:20" ht="15" customHeight="1" x14ac:dyDescent="0.2">
      <c r="A16" s="54" t="s">
        <v>419</v>
      </c>
      <c r="B16" s="55">
        <v>8000</v>
      </c>
      <c r="C16" s="55">
        <v>8000</v>
      </c>
      <c r="D16" s="55">
        <v>6112</v>
      </c>
      <c r="E16" s="55">
        <v>4469</v>
      </c>
      <c r="F16" s="55">
        <v>3095</v>
      </c>
      <c r="G16" s="55">
        <v>3095</v>
      </c>
      <c r="H16" s="55">
        <v>412</v>
      </c>
      <c r="I16" s="55">
        <v>412</v>
      </c>
      <c r="J16" s="55">
        <v>412</v>
      </c>
      <c r="L16" s="10">
        <f t="shared" ref="L16:T16" si="11">IFERROR(B16/B24,"")</f>
        <v>6.1732941197459784E-5</v>
      </c>
      <c r="M16" s="10">
        <f t="shared" si="11"/>
        <v>7.3840033302593415E-5</v>
      </c>
      <c r="N16" s="10">
        <f t="shared" si="11"/>
        <v>7.3840005766092598E-5</v>
      </c>
      <c r="O16" s="10">
        <f t="shared" si="11"/>
        <v>5.5465154565834678E-5</v>
      </c>
      <c r="P16" s="10">
        <f t="shared" si="11"/>
        <v>5.545970811887121E-5</v>
      </c>
      <c r="Q16" s="10">
        <f t="shared" si="11"/>
        <v>5.6065080562894131E-5</v>
      </c>
      <c r="R16" s="10">
        <f t="shared" si="11"/>
        <v>1.2397499833521437E-5</v>
      </c>
      <c r="S16" s="10">
        <f t="shared" si="11"/>
        <v>1.9952021200281634E-5</v>
      </c>
      <c r="T16" s="10">
        <f t="shared" si="11"/>
        <v>4.3356126168010883E-5</v>
      </c>
    </row>
    <row r="17" spans="1:20" ht="15" customHeight="1" x14ac:dyDescent="0.2">
      <c r="A17" s="54" t="s">
        <v>420</v>
      </c>
      <c r="B17" s="55">
        <v>13591</v>
      </c>
      <c r="C17" s="55">
        <v>13578</v>
      </c>
      <c r="D17" s="55">
        <v>10373</v>
      </c>
      <c r="E17" s="55">
        <v>9214</v>
      </c>
      <c r="F17" s="55">
        <v>6382</v>
      </c>
      <c r="G17" s="55">
        <v>22114</v>
      </c>
      <c r="H17" s="55">
        <v>13421</v>
      </c>
      <c r="I17" s="55">
        <v>12137</v>
      </c>
      <c r="J17" s="55">
        <v>6530</v>
      </c>
      <c r="L17" s="10">
        <f t="shared" ref="L17:T17" si="12">IFERROR(B17/B24,"")</f>
        <v>1.048765504768345E-4</v>
      </c>
      <c r="M17" s="10">
        <f t="shared" si="12"/>
        <v>1.253249965228267E-4</v>
      </c>
      <c r="N17" s="10">
        <f t="shared" si="12"/>
        <v>1.2531779774405734E-4</v>
      </c>
      <c r="O17" s="10">
        <f t="shared" si="12"/>
        <v>1.1435576956133381E-4</v>
      </c>
      <c r="P17" s="10">
        <f t="shared" si="12"/>
        <v>1.1435988924543976E-4</v>
      </c>
      <c r="Q17" s="10">
        <f t="shared" si="12"/>
        <v>4.005890764354898E-4</v>
      </c>
      <c r="R17" s="10">
        <f t="shared" si="12"/>
        <v>4.0385156617886214E-4</v>
      </c>
      <c r="S17" s="10">
        <f t="shared" si="12"/>
        <v>5.8776136239761692E-4</v>
      </c>
      <c r="T17" s="10">
        <f t="shared" si="12"/>
        <v>6.8717355309978409E-4</v>
      </c>
    </row>
    <row r="18" spans="1:20" ht="15" customHeight="1" x14ac:dyDescent="0.2">
      <c r="A18" s="54" t="s">
        <v>421</v>
      </c>
      <c r="B18" s="55">
        <v>102179333</v>
      </c>
      <c r="C18" s="55">
        <v>80880023</v>
      </c>
      <c r="D18" s="55">
        <v>61792362</v>
      </c>
      <c r="E18" s="55">
        <v>50556985</v>
      </c>
      <c r="F18" s="55">
        <v>35016612</v>
      </c>
      <c r="G18" s="55">
        <v>35283432</v>
      </c>
      <c r="H18" s="55">
        <v>21295294</v>
      </c>
      <c r="I18" s="55">
        <v>13037533</v>
      </c>
      <c r="J18" s="55">
        <v>5655051</v>
      </c>
      <c r="L18" s="10">
        <f t="shared" ref="L18:T18" si="13">IFERROR(B18/B24,"")</f>
        <v>0.78847884446058281</v>
      </c>
      <c r="M18" s="10">
        <f t="shared" si="13"/>
        <v>0.74652294897931526</v>
      </c>
      <c r="N18" s="10">
        <f t="shared" si="13"/>
        <v>0.74652296570361276</v>
      </c>
      <c r="O18" s="10">
        <f t="shared" si="13"/>
        <v>0.627467215799415</v>
      </c>
      <c r="P18" s="10">
        <f t="shared" si="13"/>
        <v>0.62746723128651472</v>
      </c>
      <c r="Q18" s="10">
        <f t="shared" si="13"/>
        <v>0.63914974397912661</v>
      </c>
      <c r="R18" s="10">
        <f t="shared" si="13"/>
        <v>0.64079709664997586</v>
      </c>
      <c r="S18" s="10">
        <f t="shared" si="13"/>
        <v>0.63137168644507624</v>
      </c>
      <c r="T18" s="10">
        <f t="shared" si="13"/>
        <v>0.59509976854984492</v>
      </c>
    </row>
    <row r="19" spans="1:20" ht="15" customHeight="1" x14ac:dyDescent="0.2">
      <c r="A19" s="54" t="s">
        <v>422</v>
      </c>
      <c r="B19" s="55">
        <v>426824</v>
      </c>
      <c r="C19" s="55">
        <v>332169</v>
      </c>
      <c r="D19" s="55">
        <v>253777</v>
      </c>
      <c r="E19" s="55">
        <v>420456</v>
      </c>
      <c r="F19" s="55">
        <v>291215</v>
      </c>
      <c r="G19" s="55">
        <v>223831</v>
      </c>
      <c r="H19" s="55">
        <v>98237</v>
      </c>
      <c r="I19" s="55">
        <v>64594</v>
      </c>
      <c r="J19" s="55">
        <v>73524</v>
      </c>
      <c r="L19" s="10">
        <f t="shared" ref="L19:T19" si="14">IFERROR(B19/B24,"")</f>
        <v>3.2936376117080721E-3</v>
      </c>
      <c r="M19" s="10">
        <f t="shared" si="14"/>
        <v>3.0659212527611441E-3</v>
      </c>
      <c r="N19" s="10">
        <f t="shared" si="14"/>
        <v>3.0659187080009295E-3</v>
      </c>
      <c r="O19" s="10">
        <f t="shared" si="14"/>
        <v>5.2183166319383729E-3</v>
      </c>
      <c r="P19" s="10">
        <f t="shared" si="14"/>
        <v>5.2183195152946948E-3</v>
      </c>
      <c r="Q19" s="10">
        <f t="shared" si="14"/>
        <v>4.0546374951448E-3</v>
      </c>
      <c r="R19" s="10">
        <f t="shared" si="14"/>
        <v>2.9560514348195279E-3</v>
      </c>
      <c r="S19" s="10">
        <f t="shared" si="14"/>
        <v>3.1281088772111454E-3</v>
      </c>
      <c r="T19" s="10">
        <f t="shared" si="14"/>
        <v>7.7371743213029906E-3</v>
      </c>
    </row>
    <row r="20" spans="1:20" ht="15" customHeight="1" x14ac:dyDescent="0.2">
      <c r="A20" s="54" t="s">
        <v>423</v>
      </c>
      <c r="B20" s="55">
        <v>3453698</v>
      </c>
      <c r="C20" s="55">
        <v>2120568</v>
      </c>
      <c r="D20" s="55">
        <v>1620114</v>
      </c>
      <c r="E20" s="55">
        <v>1597614</v>
      </c>
      <c r="F20" s="55">
        <v>1106534</v>
      </c>
      <c r="G20" s="55">
        <v>740730</v>
      </c>
      <c r="H20" s="55">
        <v>345839</v>
      </c>
      <c r="I20" s="55">
        <v>222088</v>
      </c>
      <c r="J20" s="55">
        <v>115885</v>
      </c>
      <c r="L20" s="10">
        <f t="shared" ref="L20:T20" si="15">IFERROR(B20/B24,"")</f>
        <v>2.6650866943473059E-2</v>
      </c>
      <c r="M20" s="10">
        <f t="shared" si="15"/>
        <v>1.9572851467551739E-2</v>
      </c>
      <c r="N20" s="10">
        <f t="shared" si="15"/>
        <v>1.9572844748319263E-2</v>
      </c>
      <c r="O20" s="10">
        <f t="shared" si="15"/>
        <v>1.9828128764050438E-2</v>
      </c>
      <c r="P20" s="10">
        <f t="shared" si="15"/>
        <v>1.9828126870309219E-2</v>
      </c>
      <c r="Q20" s="10">
        <f t="shared" si="15"/>
        <v>1.341812184987159E-2</v>
      </c>
      <c r="R20" s="10">
        <f t="shared" si="15"/>
        <v>1.0406647924575777E-2</v>
      </c>
      <c r="S20" s="10">
        <f t="shared" si="15"/>
        <v>1.0755107971670261E-2</v>
      </c>
      <c r="T20" s="10">
        <f t="shared" si="15"/>
        <v>1.2194962817912477E-2</v>
      </c>
    </row>
    <row r="21" spans="1:20" ht="15" customHeight="1" x14ac:dyDescent="0.2">
      <c r="A21" s="54" t="s">
        <v>424</v>
      </c>
      <c r="B21" s="55">
        <v>3212342</v>
      </c>
      <c r="C21" s="55">
        <v>4885269</v>
      </c>
      <c r="D21" s="55">
        <v>3732347</v>
      </c>
      <c r="E21" s="55">
        <v>2689942</v>
      </c>
      <c r="F21" s="55">
        <v>1863099</v>
      </c>
      <c r="G21" s="55">
        <v>34704</v>
      </c>
      <c r="H21" s="55">
        <v>21062</v>
      </c>
      <c r="I21" s="55">
        <v>153147</v>
      </c>
      <c r="J21" s="55">
        <v>2289</v>
      </c>
      <c r="L21" s="10">
        <f t="shared" ref="L21:T21" si="16">IFERROR(B21/B24,"")</f>
        <v>2.4788414974016296E-2</v>
      </c>
      <c r="M21" s="10">
        <f t="shared" si="16"/>
        <v>4.5091053206515908E-2</v>
      </c>
      <c r="N21" s="10">
        <f t="shared" si="16"/>
        <v>4.5091054319544896E-2</v>
      </c>
      <c r="O21" s="10">
        <f t="shared" si="16"/>
        <v>3.3385108257581217E-2</v>
      </c>
      <c r="P21" s="10">
        <f t="shared" si="16"/>
        <v>3.3385113646707862E-2</v>
      </c>
      <c r="Q21" s="10">
        <f t="shared" si="16"/>
        <v>6.2865349139084909E-4</v>
      </c>
      <c r="R21" s="10">
        <f t="shared" si="16"/>
        <v>6.3377704246026336E-4</v>
      </c>
      <c r="S21" s="10">
        <f t="shared" si="16"/>
        <v>7.4164858999017751E-3</v>
      </c>
      <c r="T21" s="10">
        <f t="shared" si="16"/>
        <v>2.4087906019072065E-4</v>
      </c>
    </row>
    <row r="22" spans="1:20" ht="15" customHeight="1" x14ac:dyDescent="0.2">
      <c r="A22" s="54" t="s">
        <v>425</v>
      </c>
      <c r="B22" s="55">
        <v>305810</v>
      </c>
      <c r="C22" s="55">
        <v>712188</v>
      </c>
      <c r="D22" s="55">
        <v>544112</v>
      </c>
      <c r="E22" s="55">
        <v>618964</v>
      </c>
      <c r="F22" s="55">
        <v>428705</v>
      </c>
      <c r="G22" s="55">
        <v>89049</v>
      </c>
      <c r="H22" s="55">
        <v>42139</v>
      </c>
      <c r="I22" s="55">
        <v>30526</v>
      </c>
      <c r="J22" s="55">
        <v>185220</v>
      </c>
      <c r="L22" s="10">
        <f t="shared" ref="L22:T22" si="17">IFERROR(B22/B24,"")</f>
        <v>2.3598188434493972E-3</v>
      </c>
      <c r="M22" s="10">
        <f t="shared" si="17"/>
        <v>6.5734982047134256E-3</v>
      </c>
      <c r="N22" s="10">
        <f t="shared" si="17"/>
        <v>6.5735001991819655E-3</v>
      </c>
      <c r="O22" s="10">
        <f t="shared" si="17"/>
        <v>7.6820169905319532E-3</v>
      </c>
      <c r="P22" s="10">
        <f t="shared" si="17"/>
        <v>7.6820207331504626E-3</v>
      </c>
      <c r="Q22" s="10">
        <f t="shared" si="17"/>
        <v>1.6130983389483554E-3</v>
      </c>
      <c r="R22" s="10">
        <f t="shared" si="17"/>
        <v>1.2680054502057277E-3</v>
      </c>
      <c r="S22" s="10">
        <f t="shared" si="17"/>
        <v>1.4782898037859155E-3</v>
      </c>
      <c r="T22" s="10">
        <f t="shared" si="17"/>
        <v>1.9491314778735377E-2</v>
      </c>
    </row>
    <row r="23" spans="1:20" ht="15.75" customHeight="1" x14ac:dyDescent="0.2">
      <c r="A23" s="57" t="s">
        <v>60</v>
      </c>
      <c r="B23" s="58">
        <f t="shared" ref="B23:J23" si="18">SUM(B16:B22)</f>
        <v>109599598</v>
      </c>
      <c r="C23" s="58">
        <f t="shared" si="18"/>
        <v>88951795</v>
      </c>
      <c r="D23" s="58">
        <f t="shared" si="18"/>
        <v>67959197</v>
      </c>
      <c r="E23" s="58">
        <f t="shared" si="18"/>
        <v>55897644</v>
      </c>
      <c r="F23" s="58">
        <f t="shared" si="18"/>
        <v>38715642</v>
      </c>
      <c r="G23" s="58">
        <f t="shared" si="18"/>
        <v>36396955</v>
      </c>
      <c r="H23" s="58">
        <f t="shared" si="18"/>
        <v>21816404</v>
      </c>
      <c r="I23" s="58">
        <f t="shared" si="18"/>
        <v>13520437</v>
      </c>
      <c r="J23" s="58">
        <f t="shared" si="18"/>
        <v>6038911</v>
      </c>
      <c r="L23" s="59">
        <f t="shared" ref="L23:T23" si="19">IFERROR(B23/B24,"")</f>
        <v>0.84573819232490388</v>
      </c>
      <c r="M23" s="59">
        <f t="shared" si="19"/>
        <v>0.82102543814068285</v>
      </c>
      <c r="N23" s="59">
        <f t="shared" si="19"/>
        <v>0.82102544148216994</v>
      </c>
      <c r="O23" s="59">
        <f t="shared" si="19"/>
        <v>0.69375060736764416</v>
      </c>
      <c r="P23" s="59">
        <f t="shared" si="19"/>
        <v>0.69375063164934125</v>
      </c>
      <c r="Q23" s="59">
        <f t="shared" si="19"/>
        <v>0.65932090931148057</v>
      </c>
      <c r="R23" s="59">
        <f t="shared" si="19"/>
        <v>0.65647782756804951</v>
      </c>
      <c r="S23" s="59">
        <f t="shared" si="19"/>
        <v>0.6547573923812432</v>
      </c>
      <c r="T23" s="59">
        <f t="shared" si="19"/>
        <v>0.6354946292072543</v>
      </c>
    </row>
    <row r="24" spans="1:20" ht="15.75" customHeight="1" x14ac:dyDescent="0.2">
      <c r="A24" s="57" t="s">
        <v>61</v>
      </c>
      <c r="B24" s="58">
        <f t="shared" ref="B24:J24" si="20">B14+B23</f>
        <v>129590456</v>
      </c>
      <c r="C24" s="58">
        <f t="shared" si="20"/>
        <v>108342313</v>
      </c>
      <c r="D24" s="58">
        <f t="shared" si="20"/>
        <v>82773558</v>
      </c>
      <c r="E24" s="58">
        <f t="shared" si="20"/>
        <v>80573110</v>
      </c>
      <c r="F24" s="58">
        <f t="shared" si="20"/>
        <v>55806280</v>
      </c>
      <c r="G24" s="58">
        <f t="shared" si="20"/>
        <v>55203702</v>
      </c>
      <c r="H24" s="58">
        <f t="shared" si="20"/>
        <v>33232507</v>
      </c>
      <c r="I24" s="58">
        <f t="shared" si="20"/>
        <v>20649537</v>
      </c>
      <c r="J24" s="58">
        <f t="shared" si="20"/>
        <v>9502694</v>
      </c>
      <c r="L24" s="59">
        <f t="shared" ref="L24:T24" si="21">IFERROR(B24/B24,"")</f>
        <v>1</v>
      </c>
      <c r="M24" s="59">
        <f t="shared" si="21"/>
        <v>1</v>
      </c>
      <c r="N24" s="59">
        <f t="shared" si="21"/>
        <v>1</v>
      </c>
      <c r="O24" s="59">
        <f t="shared" si="21"/>
        <v>1</v>
      </c>
      <c r="P24" s="59">
        <f t="shared" si="21"/>
        <v>1</v>
      </c>
      <c r="Q24" s="59">
        <f t="shared" si="21"/>
        <v>1</v>
      </c>
      <c r="R24" s="59">
        <f t="shared" si="21"/>
        <v>1</v>
      </c>
      <c r="S24" s="59">
        <f t="shared" si="21"/>
        <v>1</v>
      </c>
      <c r="T24" s="59">
        <f t="shared" si="21"/>
        <v>1</v>
      </c>
    </row>
    <row r="25" spans="1:20" ht="15" customHeight="1" x14ac:dyDescent="0.2">
      <c r="A25" s="60"/>
      <c r="B25" s="61"/>
      <c r="C25" s="61"/>
      <c r="D25" s="61"/>
      <c r="E25" s="61"/>
      <c r="F25" s="61"/>
      <c r="G25" s="61"/>
      <c r="H25" s="61"/>
      <c r="I25" s="61"/>
      <c r="J25" s="61"/>
    </row>
    <row r="26" spans="1:20" ht="15.75" customHeight="1" x14ac:dyDescent="0.2">
      <c r="A26" s="53" t="s">
        <v>290</v>
      </c>
      <c r="B26" s="53"/>
      <c r="C26" s="53"/>
      <c r="D26" s="53"/>
      <c r="E26" s="53"/>
      <c r="F26" s="53"/>
      <c r="G26" s="53"/>
      <c r="H26" s="53"/>
      <c r="I26" s="53"/>
      <c r="J26" s="53"/>
    </row>
    <row r="27" spans="1:20" ht="15.75" customHeight="1" x14ac:dyDescent="0.2">
      <c r="A27" s="53" t="s">
        <v>291</v>
      </c>
      <c r="B27" s="53"/>
      <c r="C27" s="53"/>
      <c r="D27" s="53"/>
      <c r="E27" s="53"/>
      <c r="F27" s="53"/>
      <c r="G27" s="53"/>
      <c r="H27" s="53"/>
      <c r="I27" s="53"/>
      <c r="J27" s="53"/>
    </row>
    <row r="28" spans="1:20" ht="15" customHeight="1" x14ac:dyDescent="0.2">
      <c r="A28" s="54" t="s">
        <v>426</v>
      </c>
      <c r="B28" s="55">
        <v>6762388</v>
      </c>
      <c r="C28" s="55">
        <v>8700125</v>
      </c>
      <c r="D28" s="55">
        <v>6646898</v>
      </c>
      <c r="E28" s="55">
        <v>4269226</v>
      </c>
      <c r="F28" s="55">
        <v>2956937</v>
      </c>
      <c r="G28" s="55">
        <v>3943581</v>
      </c>
      <c r="H28" s="55">
        <v>2393385</v>
      </c>
      <c r="I28" s="55">
        <v>1923308</v>
      </c>
      <c r="J28" s="55">
        <v>728277</v>
      </c>
      <c r="L28" s="10">
        <f t="shared" ref="L28:T28" si="22">IFERROR(B28/B24,"")</f>
        <v>5.2182762594800966E-2</v>
      </c>
      <c r="M28" s="10">
        <f t="shared" si="22"/>
        <v>8.0302189967090695E-2</v>
      </c>
      <c r="N28" s="10">
        <f t="shared" si="22"/>
        <v>8.0302190223597733E-2</v>
      </c>
      <c r="O28" s="10">
        <f t="shared" si="22"/>
        <v>5.2985741769183289E-2</v>
      </c>
      <c r="P28" s="10">
        <f t="shared" si="22"/>
        <v>5.2985739239383094E-2</v>
      </c>
      <c r="Q28" s="10">
        <f t="shared" si="22"/>
        <v>7.1436893851792763E-2</v>
      </c>
      <c r="R28" s="10">
        <f t="shared" si="22"/>
        <v>7.2019393541390059E-2</v>
      </c>
      <c r="S28" s="10">
        <f t="shared" si="22"/>
        <v>9.3140490268619577E-2</v>
      </c>
      <c r="T28" s="10">
        <f t="shared" si="22"/>
        <v>7.6639003634127331E-2</v>
      </c>
    </row>
    <row r="29" spans="1:20" ht="15" customHeight="1" x14ac:dyDescent="0.2">
      <c r="A29" s="54" t="s">
        <v>427</v>
      </c>
      <c r="B29" s="55">
        <v>12854305</v>
      </c>
      <c r="C29" s="55">
        <v>8710253</v>
      </c>
      <c r="D29" s="55">
        <v>6654636</v>
      </c>
      <c r="E29" s="55">
        <v>7528107</v>
      </c>
      <c r="F29" s="55">
        <v>5214093</v>
      </c>
      <c r="G29" s="55">
        <v>3856471</v>
      </c>
      <c r="H29" s="55">
        <v>2340518</v>
      </c>
      <c r="I29" s="55">
        <v>1225737</v>
      </c>
      <c r="J29" s="55">
        <v>1292954</v>
      </c>
      <c r="L29" s="10">
        <f t="shared" ref="L29:T29" si="23">IFERROR(B29/B24,"")</f>
        <v>9.9191756837401668E-2</v>
      </c>
      <c r="M29" s="10">
        <f t="shared" si="23"/>
        <v>8.0395671449251777E-2</v>
      </c>
      <c r="N29" s="10">
        <f t="shared" si="23"/>
        <v>8.0395674183777383E-2</v>
      </c>
      <c r="O29" s="10">
        <f t="shared" si="23"/>
        <v>9.3432002314419782E-2</v>
      </c>
      <c r="P29" s="10">
        <f t="shared" si="23"/>
        <v>9.3432011594394029E-2</v>
      </c>
      <c r="Q29" s="10">
        <f t="shared" si="23"/>
        <v>6.9858919968809344E-2</v>
      </c>
      <c r="R29" s="10">
        <f t="shared" si="23"/>
        <v>7.0428571639208556E-2</v>
      </c>
      <c r="S29" s="10">
        <f t="shared" si="23"/>
        <v>5.9359054878567012E-2</v>
      </c>
      <c r="T29" s="10">
        <f t="shared" si="23"/>
        <v>0.13606183678018044</v>
      </c>
    </row>
    <row r="30" spans="1:20" ht="15" customHeight="1" x14ac:dyDescent="0.2">
      <c r="A30" s="54" t="s">
        <v>428</v>
      </c>
      <c r="B30" s="55">
        <v>68646</v>
      </c>
      <c r="C30" s="55">
        <v>6981</v>
      </c>
      <c r="D30" s="55">
        <v>5333</v>
      </c>
      <c r="E30" s="55">
        <v>5321</v>
      </c>
      <c r="F30" s="55">
        <v>3685</v>
      </c>
      <c r="G30" s="55">
        <v>4507</v>
      </c>
      <c r="H30" s="55">
        <v>2736</v>
      </c>
      <c r="I30" s="55">
        <v>7581</v>
      </c>
      <c r="J30" s="55">
        <v>831</v>
      </c>
      <c r="L30" s="10">
        <f t="shared" ref="L30:T30" si="24">IFERROR(B30/B24,"")</f>
        <v>5.2971493518010309E-4</v>
      </c>
      <c r="M30" s="10">
        <f t="shared" si="24"/>
        <v>6.4434659060675582E-5</v>
      </c>
      <c r="N30" s="10">
        <f t="shared" si="24"/>
        <v>6.4428787753693033E-5</v>
      </c>
      <c r="O30" s="10">
        <f t="shared" si="24"/>
        <v>6.6039401979146647E-5</v>
      </c>
      <c r="P30" s="10">
        <f t="shared" si="24"/>
        <v>6.6031994965441165E-5</v>
      </c>
      <c r="Q30" s="10">
        <f t="shared" si="24"/>
        <v>8.1643075314043255E-5</v>
      </c>
      <c r="R30" s="10">
        <f t="shared" si="24"/>
        <v>8.2329028020666629E-5</v>
      </c>
      <c r="S30" s="10">
        <f t="shared" si="24"/>
        <v>3.6712687553236667E-4</v>
      </c>
      <c r="T30" s="10">
        <f t="shared" si="24"/>
        <v>8.7448885547614181E-5</v>
      </c>
    </row>
    <row r="31" spans="1:20" ht="15" customHeight="1" x14ac:dyDescent="0.2">
      <c r="A31" s="54" t="s">
        <v>429</v>
      </c>
      <c r="B31" s="55">
        <v>79291</v>
      </c>
      <c r="C31" s="55">
        <v>36619</v>
      </c>
      <c r="D31" s="55">
        <v>27977</v>
      </c>
      <c r="E31" s="55">
        <v>48033</v>
      </c>
      <c r="F31" s="55">
        <v>33269</v>
      </c>
      <c r="G31" s="55">
        <v>10674</v>
      </c>
      <c r="H31" s="55">
        <v>6478</v>
      </c>
      <c r="I31" s="55">
        <v>2798</v>
      </c>
      <c r="J31" s="55">
        <v>3396</v>
      </c>
      <c r="L31" s="10">
        <f t="shared" ref="L31:T31" si="25">IFERROR(B31/B24,"")</f>
        <v>6.1185833006097297E-4</v>
      </c>
      <c r="M31" s="10">
        <f t="shared" si="25"/>
        <v>3.3799352243845857E-4</v>
      </c>
      <c r="N31" s="10">
        <f t="shared" si="25"/>
        <v>3.3799441121040128E-4</v>
      </c>
      <c r="O31" s="10">
        <f t="shared" si="25"/>
        <v>5.9614181455823164E-4</v>
      </c>
      <c r="P31" s="10">
        <f t="shared" si="25"/>
        <v>5.9615154423480659E-4</v>
      </c>
      <c r="Q31" s="10">
        <f t="shared" si="25"/>
        <v>1.9335659771513151E-4</v>
      </c>
      <c r="R31" s="10">
        <f t="shared" si="25"/>
        <v>1.9492962116881521E-4</v>
      </c>
      <c r="S31" s="10">
        <f t="shared" si="25"/>
        <v>1.3549940611259226E-4</v>
      </c>
      <c r="T31" s="10">
        <f t="shared" si="25"/>
        <v>3.5737234093826444E-4</v>
      </c>
    </row>
    <row r="32" spans="1:20" ht="15" customHeight="1" x14ac:dyDescent="0.2">
      <c r="A32" s="54" t="s">
        <v>430</v>
      </c>
      <c r="B32" s="55">
        <v>4363435</v>
      </c>
      <c r="C32" s="55">
        <v>8153947</v>
      </c>
      <c r="D32" s="55">
        <v>6229618</v>
      </c>
      <c r="E32" s="55">
        <v>4822815</v>
      </c>
      <c r="F32" s="55">
        <v>3340362</v>
      </c>
      <c r="G32" s="55">
        <v>3511100</v>
      </c>
      <c r="H32" s="55">
        <v>2126648</v>
      </c>
      <c r="I32" s="55">
        <v>2019866</v>
      </c>
      <c r="J32" s="55">
        <v>779913</v>
      </c>
      <c r="L32" s="10">
        <f t="shared" ref="L32:T32" si="26">IFERROR(B32/B24,"")</f>
        <v>3.3670959534242241E-2</v>
      </c>
      <c r="M32" s="10">
        <f t="shared" si="26"/>
        <v>7.5260964753447707E-2</v>
      </c>
      <c r="N32" s="10">
        <f t="shared" si="26"/>
        <v>7.5260966793284395E-2</v>
      </c>
      <c r="O32" s="10">
        <f t="shared" si="26"/>
        <v>5.9856383848159764E-2</v>
      </c>
      <c r="P32" s="10">
        <f t="shared" si="26"/>
        <v>5.9856381754884933E-2</v>
      </c>
      <c r="Q32" s="10">
        <f t="shared" si="26"/>
        <v>6.3602618534532335E-2</v>
      </c>
      <c r="R32" s="10">
        <f t="shared" si="26"/>
        <v>6.3993005402812372E-2</v>
      </c>
      <c r="S32" s="10">
        <f t="shared" si="26"/>
        <v>9.7816527314873933E-2</v>
      </c>
      <c r="T32" s="10">
        <f t="shared" si="26"/>
        <v>8.2072831136096772E-2</v>
      </c>
    </row>
    <row r="33" spans="1:20" ht="15" customHeight="1" x14ac:dyDescent="0.2">
      <c r="A33" s="54" t="s">
        <v>431</v>
      </c>
      <c r="B33" s="55">
        <v>94841</v>
      </c>
      <c r="C33" s="55">
        <v>108055</v>
      </c>
      <c r="D33" s="55">
        <v>82554</v>
      </c>
      <c r="E33" s="55">
        <v>98485</v>
      </c>
      <c r="F33" s="55">
        <v>68212</v>
      </c>
      <c r="G33" s="55">
        <v>38748</v>
      </c>
      <c r="H33" s="55">
        <v>23517</v>
      </c>
      <c r="I33" s="55">
        <v>18189</v>
      </c>
      <c r="J33" s="55">
        <v>8597</v>
      </c>
      <c r="L33" s="10">
        <f t="shared" ref="L33:T33" si="27">IFERROR(B33/B24,"")</f>
        <v>7.3185173451353544E-4</v>
      </c>
      <c r="M33" s="10">
        <f t="shared" si="27"/>
        <v>9.9734809981396645E-4</v>
      </c>
      <c r="N33" s="10">
        <f t="shared" si="27"/>
        <v>9.9734748625883636E-4</v>
      </c>
      <c r="O33" s="10">
        <f t="shared" si="27"/>
        <v>1.2223060522300803E-3</v>
      </c>
      <c r="P33" s="10">
        <f t="shared" si="27"/>
        <v>1.2222997125054744E-3</v>
      </c>
      <c r="Q33" s="10">
        <f t="shared" si="27"/>
        <v>7.0190944802940938E-4</v>
      </c>
      <c r="R33" s="10">
        <f t="shared" si="27"/>
        <v>7.0765049413816419E-4</v>
      </c>
      <c r="S33" s="10">
        <f t="shared" si="27"/>
        <v>8.8084299420369567E-4</v>
      </c>
      <c r="T33" s="10">
        <f t="shared" si="27"/>
        <v>9.0469081715143093E-4</v>
      </c>
    </row>
    <row r="34" spans="1:20" ht="15" customHeight="1" x14ac:dyDescent="0.2">
      <c r="A34" s="54" t="s">
        <v>432</v>
      </c>
      <c r="B34" s="55">
        <v>494276</v>
      </c>
      <c r="C34" s="55">
        <v>488799</v>
      </c>
      <c r="D34" s="55">
        <v>373443</v>
      </c>
      <c r="E34" s="55">
        <v>1028337</v>
      </c>
      <c r="F34" s="55">
        <v>712243</v>
      </c>
      <c r="G34" s="55">
        <v>779420</v>
      </c>
      <c r="H34" s="55">
        <v>473035</v>
      </c>
      <c r="I34" s="55">
        <v>351951</v>
      </c>
      <c r="J34" s="55">
        <v>197360</v>
      </c>
      <c r="L34" s="10">
        <f t="shared" ref="L34:T34" si="28">IFERROR(B34/B24,"")</f>
        <v>3.8141389054144543E-3</v>
      </c>
      <c r="M34" s="10">
        <f t="shared" si="28"/>
        <v>4.5116168047842952E-3</v>
      </c>
      <c r="N34" s="10">
        <f t="shared" si="28"/>
        <v>4.5116219360777027E-3</v>
      </c>
      <c r="O34" s="10">
        <f t="shared" si="28"/>
        <v>1.2762781528477677E-2</v>
      </c>
      <c r="P34" s="10">
        <f t="shared" si="28"/>
        <v>1.2762775085528009E-2</v>
      </c>
      <c r="Q34" s="10">
        <f t="shared" si="28"/>
        <v>1.411898064372567E-2</v>
      </c>
      <c r="R34" s="10">
        <f t="shared" si="28"/>
        <v>1.42341051790044E-2</v>
      </c>
      <c r="S34" s="10">
        <f t="shared" si="28"/>
        <v>1.7044014110340587E-2</v>
      </c>
      <c r="T34" s="10">
        <f t="shared" si="28"/>
        <v>2.0768847234268514E-2</v>
      </c>
    </row>
    <row r="35" spans="1:20" ht="15" customHeight="1" x14ac:dyDescent="0.2">
      <c r="A35" s="54" t="s">
        <v>433</v>
      </c>
      <c r="B35" s="55">
        <v>52398</v>
      </c>
      <c r="C35" s="55">
        <v>49699</v>
      </c>
      <c r="D35" s="55">
        <v>37970</v>
      </c>
      <c r="E35" s="55">
        <v>0</v>
      </c>
      <c r="F35" s="55">
        <v>0</v>
      </c>
      <c r="G35" s="55">
        <v>0</v>
      </c>
      <c r="H35" s="55">
        <v>0</v>
      </c>
      <c r="I35" s="55">
        <v>83074</v>
      </c>
      <c r="J35" s="55">
        <v>60716</v>
      </c>
      <c r="L35" s="10">
        <f t="shared" ref="L35:T35" si="29">IFERROR(B35/B24,"")</f>
        <v>4.0433533160806227E-4</v>
      </c>
      <c r="M35" s="10">
        <f t="shared" si="29"/>
        <v>4.5872197688819879E-4</v>
      </c>
      <c r="N35" s="10">
        <f t="shared" si="29"/>
        <v>4.5872137089962957E-4</v>
      </c>
      <c r="O35" s="10">
        <f t="shared" si="29"/>
        <v>0</v>
      </c>
      <c r="P35" s="10">
        <f t="shared" si="29"/>
        <v>0</v>
      </c>
      <c r="Q35" s="10">
        <f t="shared" si="29"/>
        <v>0</v>
      </c>
      <c r="R35" s="10">
        <f t="shared" si="29"/>
        <v>0</v>
      </c>
      <c r="S35" s="10">
        <f t="shared" si="29"/>
        <v>4.0230441970684379E-3</v>
      </c>
      <c r="T35" s="10">
        <f t="shared" si="29"/>
        <v>6.3893460107207495E-3</v>
      </c>
    </row>
    <row r="36" spans="1:20" ht="15" customHeight="1" x14ac:dyDescent="0.2">
      <c r="A36" s="54" t="s">
        <v>434</v>
      </c>
      <c r="B36" s="55">
        <v>1024914</v>
      </c>
      <c r="C36" s="55">
        <v>1361145</v>
      </c>
      <c r="D36" s="55">
        <v>1039915</v>
      </c>
      <c r="E36" s="55">
        <v>1967895</v>
      </c>
      <c r="F36" s="55">
        <v>1362997</v>
      </c>
      <c r="G36" s="55">
        <v>943654</v>
      </c>
      <c r="H36" s="55">
        <v>572710</v>
      </c>
      <c r="I36" s="55">
        <v>626693</v>
      </c>
      <c r="J36" s="55">
        <v>183176</v>
      </c>
      <c r="L36" s="10">
        <f t="shared" ref="L36:T36" si="30">IFERROR(B36/B24,"")</f>
        <v>7.908869461806663E-3</v>
      </c>
      <c r="M36" s="10">
        <f t="shared" si="30"/>
        <v>1.2563374016207315E-2</v>
      </c>
      <c r="N36" s="10">
        <f t="shared" si="30"/>
        <v>1.2563371988914624E-2</v>
      </c>
      <c r="O36" s="10">
        <f t="shared" si="30"/>
        <v>2.4423719029835141E-2</v>
      </c>
      <c r="P36" s="10">
        <f t="shared" si="30"/>
        <v>2.4423720771210695E-2</v>
      </c>
      <c r="Q36" s="10">
        <f t="shared" si="30"/>
        <v>1.7094034744264072E-2</v>
      </c>
      <c r="R36" s="10">
        <f t="shared" si="30"/>
        <v>1.7233427499165201E-2</v>
      </c>
      <c r="S36" s="10">
        <f t="shared" si="30"/>
        <v>3.0349009762301208E-2</v>
      </c>
      <c r="T36" s="10">
        <f t="shared" si="30"/>
        <v>1.9276217880950391E-2</v>
      </c>
    </row>
    <row r="37" spans="1:20" ht="15" customHeight="1" x14ac:dyDescent="0.2">
      <c r="A37" s="54" t="s">
        <v>435</v>
      </c>
      <c r="B37" s="55">
        <v>282112</v>
      </c>
      <c r="C37" s="55">
        <v>226362</v>
      </c>
      <c r="D37" s="55">
        <v>172941</v>
      </c>
      <c r="E37" s="55">
        <v>57882</v>
      </c>
      <c r="F37" s="55">
        <v>40090</v>
      </c>
      <c r="G37" s="55">
        <v>39400</v>
      </c>
      <c r="H37" s="55">
        <v>23912</v>
      </c>
      <c r="I37" s="55">
        <v>11369</v>
      </c>
      <c r="J37" s="55">
        <v>23856</v>
      </c>
      <c r="L37" s="10">
        <f t="shared" ref="L37:T37" si="31">IFERROR(B37/B24,"")</f>
        <v>2.1769504383872219E-3</v>
      </c>
      <c r="M37" s="10">
        <f t="shared" si="31"/>
        <v>2.0893222023052067E-3</v>
      </c>
      <c r="N37" s="10">
        <f t="shared" si="31"/>
        <v>2.0893266422110307E-3</v>
      </c>
      <c r="O37" s="10">
        <f t="shared" si="31"/>
        <v>7.1837862532549634E-4</v>
      </c>
      <c r="P37" s="10">
        <f t="shared" si="31"/>
        <v>7.1837793165930425E-4</v>
      </c>
      <c r="Q37" s="10">
        <f t="shared" si="31"/>
        <v>7.1372025013829684E-4</v>
      </c>
      <c r="R37" s="10">
        <f t="shared" si="31"/>
        <v>7.1953644664845781E-4</v>
      </c>
      <c r="S37" s="10">
        <f t="shared" si="31"/>
        <v>5.5056924520874241E-4</v>
      </c>
      <c r="T37" s="10">
        <f t="shared" si="31"/>
        <v>2.51044598510696E-3</v>
      </c>
    </row>
    <row r="38" spans="1:20" ht="15" customHeight="1" x14ac:dyDescent="0.2">
      <c r="A38" s="54" t="s">
        <v>436</v>
      </c>
      <c r="B38" s="55">
        <v>161375</v>
      </c>
      <c r="C38" s="55">
        <v>580263</v>
      </c>
      <c r="D38" s="55">
        <v>443321</v>
      </c>
      <c r="E38" s="55">
        <v>49444</v>
      </c>
      <c r="F38" s="55">
        <v>34245</v>
      </c>
      <c r="G38" s="55">
        <v>28097</v>
      </c>
      <c r="H38" s="55">
        <v>17053</v>
      </c>
      <c r="I38" s="55">
        <v>1305</v>
      </c>
      <c r="J38" s="55">
        <v>18588</v>
      </c>
      <c r="L38" s="10">
        <f t="shared" ref="L38:T38" si="32">IFERROR(B38/B24,"")</f>
        <v>1.2452691732175091E-3</v>
      </c>
      <c r="M38" s="10">
        <f t="shared" si="32"/>
        <v>5.3558299055328461E-3</v>
      </c>
      <c r="N38" s="10">
        <f t="shared" si="32"/>
        <v>5.3558287297496626E-3</v>
      </c>
      <c r="O38" s="10">
        <f t="shared" si="32"/>
        <v>6.1365386045046546E-4</v>
      </c>
      <c r="P38" s="10">
        <f t="shared" si="32"/>
        <v>6.13640615357268E-4</v>
      </c>
      <c r="Q38" s="10">
        <f t="shared" si="32"/>
        <v>5.0896948903897789E-4</v>
      </c>
      <c r="R38" s="10">
        <f t="shared" si="32"/>
        <v>5.1314214723553655E-4</v>
      </c>
      <c r="S38" s="10">
        <f t="shared" si="32"/>
        <v>6.3197542879532843E-5</v>
      </c>
      <c r="T38" s="10">
        <f t="shared" si="32"/>
        <v>1.9560768767256948E-3</v>
      </c>
    </row>
    <row r="39" spans="1:20" ht="15.75" customHeight="1" x14ac:dyDescent="0.2">
      <c r="A39" s="57" t="s">
        <v>437</v>
      </c>
      <c r="B39" s="58">
        <f t="shared" ref="B39:J39" si="33">SUM(B28:B38)</f>
        <v>26237981</v>
      </c>
      <c r="C39" s="58">
        <f t="shared" si="33"/>
        <v>28422248</v>
      </c>
      <c r="D39" s="58">
        <f t="shared" si="33"/>
        <v>21714606</v>
      </c>
      <c r="E39" s="58">
        <f t="shared" si="33"/>
        <v>19875545</v>
      </c>
      <c r="F39" s="58">
        <f t="shared" si="33"/>
        <v>13766133</v>
      </c>
      <c r="G39" s="58">
        <f t="shared" si="33"/>
        <v>13155652</v>
      </c>
      <c r="H39" s="58">
        <f t="shared" si="33"/>
        <v>7979992</v>
      </c>
      <c r="I39" s="58">
        <f t="shared" si="33"/>
        <v>6271871</v>
      </c>
      <c r="J39" s="58">
        <f t="shared" si="33"/>
        <v>3297664</v>
      </c>
      <c r="L39" s="59">
        <f t="shared" ref="L39:T39" si="34">IFERROR(B39/B24,"")</f>
        <v>0.2024684672766334</v>
      </c>
      <c r="M39" s="59">
        <f t="shared" si="34"/>
        <v>0.26233746735682117</v>
      </c>
      <c r="N39" s="59">
        <f t="shared" si="34"/>
        <v>0.26233747255373507</v>
      </c>
      <c r="O39" s="59">
        <f t="shared" si="34"/>
        <v>0.24667714824461909</v>
      </c>
      <c r="P39" s="59">
        <f t="shared" si="34"/>
        <v>0.24667713024412305</v>
      </c>
      <c r="Q39" s="59">
        <f t="shared" si="34"/>
        <v>0.23831104660336005</v>
      </c>
      <c r="R39" s="59">
        <f t="shared" si="34"/>
        <v>0.24012609099879223</v>
      </c>
      <c r="S39" s="59">
        <f t="shared" si="34"/>
        <v>0.3037293765957077</v>
      </c>
      <c r="T39" s="59">
        <f t="shared" si="34"/>
        <v>0.34702411758181417</v>
      </c>
    </row>
    <row r="40" spans="1:20" ht="15.75" customHeight="1" x14ac:dyDescent="0.2">
      <c r="A40" s="53" t="s">
        <v>302</v>
      </c>
      <c r="B40" s="53"/>
      <c r="C40" s="53"/>
      <c r="D40" s="53"/>
      <c r="E40" s="53"/>
      <c r="F40" s="53"/>
      <c r="G40" s="53"/>
      <c r="H40" s="53"/>
      <c r="I40" s="53"/>
      <c r="J40" s="53"/>
    </row>
    <row r="41" spans="1:20" ht="15" customHeight="1" x14ac:dyDescent="0.2">
      <c r="A41" s="54" t="s">
        <v>438</v>
      </c>
      <c r="B41" s="55">
        <v>34450834</v>
      </c>
      <c r="C41" s="55">
        <v>19182193</v>
      </c>
      <c r="D41" s="55">
        <v>14655202</v>
      </c>
      <c r="E41" s="55">
        <v>7331121</v>
      </c>
      <c r="F41" s="55">
        <v>5077657</v>
      </c>
      <c r="G41" s="55">
        <v>6237182</v>
      </c>
      <c r="H41" s="55">
        <v>3785387</v>
      </c>
      <c r="I41" s="55">
        <v>2435863</v>
      </c>
      <c r="J41" s="55">
        <v>834710</v>
      </c>
      <c r="L41" s="10">
        <f t="shared" ref="L41:T41" si="35">IFERROR(B41/B24,"")</f>
        <v>0.26584391369068106</v>
      </c>
      <c r="M41" s="10">
        <f t="shared" si="35"/>
        <v>0.17705172124209681</v>
      </c>
      <c r="N41" s="10">
        <f t="shared" si="35"/>
        <v>0.177051734323176</v>
      </c>
      <c r="O41" s="10">
        <f t="shared" si="35"/>
        <v>9.0987191632543415E-2</v>
      </c>
      <c r="P41" s="10">
        <f t="shared" si="35"/>
        <v>9.0987197139820106E-2</v>
      </c>
      <c r="Q41" s="10">
        <f t="shared" si="35"/>
        <v>0.11298485018269246</v>
      </c>
      <c r="R41" s="10">
        <f t="shared" si="35"/>
        <v>0.11390615219008304</v>
      </c>
      <c r="S41" s="10">
        <f t="shared" si="35"/>
        <v>0.11796211217713985</v>
      </c>
      <c r="T41" s="10">
        <f t="shared" si="35"/>
        <v>8.7839301149758159E-2</v>
      </c>
    </row>
    <row r="42" spans="1:20" ht="15" customHeight="1" x14ac:dyDescent="0.2">
      <c r="A42" s="54" t="s">
        <v>439</v>
      </c>
      <c r="B42" s="55">
        <v>208363</v>
      </c>
      <c r="C42" s="55">
        <v>231702</v>
      </c>
      <c r="D42" s="55">
        <v>177020</v>
      </c>
      <c r="E42" s="55">
        <v>223007</v>
      </c>
      <c r="F42" s="55">
        <v>154458</v>
      </c>
      <c r="G42" s="55">
        <v>131762</v>
      </c>
      <c r="H42" s="55">
        <v>79967</v>
      </c>
      <c r="I42" s="55">
        <v>67438</v>
      </c>
      <c r="J42" s="55">
        <v>74975</v>
      </c>
      <c r="L42" s="10">
        <f t="shared" ref="L42:T42" si="36">IFERROR(B42/B24,"")</f>
        <v>1.6078576033407893E-3</v>
      </c>
      <c r="M42" s="10">
        <f t="shared" si="36"/>
        <v>2.1386104245346878E-3</v>
      </c>
      <c r="N42" s="10">
        <f t="shared" si="36"/>
        <v>2.138605664383788E-3</v>
      </c>
      <c r="O42" s="10">
        <f t="shared" si="36"/>
        <v>2.7677596160803524E-3</v>
      </c>
      <c r="P42" s="10">
        <f t="shared" si="36"/>
        <v>2.7677530199110207E-3</v>
      </c>
      <c r="Q42" s="10">
        <f t="shared" si="36"/>
        <v>2.3868326801706162E-3</v>
      </c>
      <c r="R42" s="10">
        <f t="shared" si="36"/>
        <v>2.4062885174446816E-3</v>
      </c>
      <c r="S42" s="10">
        <f t="shared" si="36"/>
        <v>3.2658359361761959E-3</v>
      </c>
      <c r="T42" s="10">
        <f t="shared" si="36"/>
        <v>7.8898678627345037E-3</v>
      </c>
    </row>
    <row r="43" spans="1:20" ht="15" customHeight="1" x14ac:dyDescent="0.2">
      <c r="A43" s="54" t="s">
        <v>440</v>
      </c>
      <c r="B43" s="55">
        <v>195659</v>
      </c>
      <c r="C43" s="55">
        <v>228012</v>
      </c>
      <c r="D43" s="55">
        <v>174201</v>
      </c>
      <c r="E43" s="55">
        <v>1640421</v>
      </c>
      <c r="F43" s="55">
        <v>1136183</v>
      </c>
      <c r="G43" s="55">
        <v>1108992</v>
      </c>
      <c r="H43" s="55">
        <v>673054</v>
      </c>
      <c r="I43" s="55">
        <v>427117</v>
      </c>
      <c r="J43" s="55">
        <v>81568</v>
      </c>
      <c r="L43" s="10">
        <f t="shared" ref="L43:T43" si="37">IFERROR(B43/B24,"")</f>
        <v>1.5098256927192231E-3</v>
      </c>
      <c r="M43" s="10">
        <f t="shared" si="37"/>
        <v>2.1045517091738664E-3</v>
      </c>
      <c r="N43" s="10">
        <f t="shared" si="37"/>
        <v>2.1045488947086218E-3</v>
      </c>
      <c r="O43" s="10">
        <f t="shared" si="37"/>
        <v>2.0359410230038285E-2</v>
      </c>
      <c r="P43" s="10">
        <f t="shared" si="37"/>
        <v>2.0359411163044731E-2</v>
      </c>
      <c r="Q43" s="10">
        <f t="shared" si="37"/>
        <v>2.0089087503588076E-2</v>
      </c>
      <c r="R43" s="10">
        <f t="shared" si="37"/>
        <v>2.0252880711045966E-2</v>
      </c>
      <c r="S43" s="10">
        <f t="shared" si="37"/>
        <v>2.068409572572983E-2</v>
      </c>
      <c r="T43" s="10">
        <f t="shared" si="37"/>
        <v>8.5836711147386207E-3</v>
      </c>
    </row>
    <row r="44" spans="1:20" ht="15" customHeight="1" x14ac:dyDescent="0.2">
      <c r="A44" s="54" t="s">
        <v>441</v>
      </c>
      <c r="B44" s="55">
        <v>3366765</v>
      </c>
      <c r="C44" s="55">
        <v>1990982</v>
      </c>
      <c r="D44" s="55">
        <v>1521111</v>
      </c>
      <c r="E44" s="55">
        <v>1496079</v>
      </c>
      <c r="F44" s="55">
        <v>1036209</v>
      </c>
      <c r="G44" s="55">
        <v>2155904</v>
      </c>
      <c r="H44" s="55">
        <v>1755544</v>
      </c>
      <c r="I44" s="55">
        <v>863042</v>
      </c>
      <c r="J44" s="55">
        <v>588434</v>
      </c>
      <c r="L44" s="10">
        <f t="shared" ref="L44:T44" si="38">IFERROR(B44/B24,"")</f>
        <v>2.5980038221333213E-2</v>
      </c>
      <c r="M44" s="10">
        <f t="shared" si="38"/>
        <v>1.8376772148108008E-2</v>
      </c>
      <c r="N44" s="10">
        <f t="shared" si="38"/>
        <v>1.8376774380050209E-2</v>
      </c>
      <c r="O44" s="10">
        <f t="shared" si="38"/>
        <v>1.8567968891854865E-2</v>
      </c>
      <c r="P44" s="10">
        <f t="shared" si="38"/>
        <v>1.8567964035588826E-2</v>
      </c>
      <c r="Q44" s="10">
        <f t="shared" si="38"/>
        <v>3.9053612745029311E-2</v>
      </c>
      <c r="R44" s="10">
        <f t="shared" si="38"/>
        <v>5.2826107882863002E-2</v>
      </c>
      <c r="S44" s="10">
        <f t="shared" si="38"/>
        <v>4.1794738545469563E-2</v>
      </c>
      <c r="T44" s="10">
        <f t="shared" si="38"/>
        <v>6.1922861032881832E-2</v>
      </c>
    </row>
    <row r="45" spans="1:20" ht="15.75" customHeight="1" x14ac:dyDescent="0.2">
      <c r="A45" s="57" t="s">
        <v>442</v>
      </c>
      <c r="B45" s="58">
        <f t="shared" ref="B45:J45" si="39">SUM(B41:B44)</f>
        <v>38221621</v>
      </c>
      <c r="C45" s="58">
        <f t="shared" si="39"/>
        <v>21632889</v>
      </c>
      <c r="D45" s="58">
        <f t="shared" si="39"/>
        <v>16527534</v>
      </c>
      <c r="E45" s="58">
        <f t="shared" si="39"/>
        <v>10690628</v>
      </c>
      <c r="F45" s="58">
        <f t="shared" si="39"/>
        <v>7404507</v>
      </c>
      <c r="G45" s="58">
        <f t="shared" si="39"/>
        <v>9633840</v>
      </c>
      <c r="H45" s="58">
        <f t="shared" si="39"/>
        <v>6293952</v>
      </c>
      <c r="I45" s="58">
        <f t="shared" si="39"/>
        <v>3793460</v>
      </c>
      <c r="J45" s="58">
        <f t="shared" si="39"/>
        <v>1579687</v>
      </c>
      <c r="L45" s="59">
        <f t="shared" ref="L45:T45" si="40">IFERROR(B45/B24,"")</f>
        <v>0.29494163520807426</v>
      </c>
      <c r="M45" s="59">
        <f t="shared" si="40"/>
        <v>0.19967165552391336</v>
      </c>
      <c r="N45" s="59">
        <f t="shared" si="40"/>
        <v>0.19967166326231864</v>
      </c>
      <c r="O45" s="59">
        <f t="shared" si="40"/>
        <v>0.13268233037051691</v>
      </c>
      <c r="P45" s="59">
        <f t="shared" si="40"/>
        <v>0.13268232535836469</v>
      </c>
      <c r="Q45" s="59">
        <f t="shared" si="40"/>
        <v>0.17451438311148046</v>
      </c>
      <c r="R45" s="59">
        <f t="shared" si="40"/>
        <v>0.18939142930143668</v>
      </c>
      <c r="S45" s="59">
        <f t="shared" si="40"/>
        <v>0.18370678238451546</v>
      </c>
      <c r="T45" s="59">
        <f t="shared" si="40"/>
        <v>0.16623570116011313</v>
      </c>
    </row>
    <row r="46" spans="1:20" ht="15.75" customHeight="1" x14ac:dyDescent="0.2">
      <c r="A46" s="57" t="s">
        <v>67</v>
      </c>
      <c r="B46" s="58">
        <f t="shared" ref="B46:J46" si="41">B39+B45</f>
        <v>64459602</v>
      </c>
      <c r="C46" s="58">
        <f t="shared" si="41"/>
        <v>50055137</v>
      </c>
      <c r="D46" s="58">
        <f t="shared" si="41"/>
        <v>38242140</v>
      </c>
      <c r="E46" s="58">
        <f t="shared" si="41"/>
        <v>30566173</v>
      </c>
      <c r="F46" s="58">
        <f t="shared" si="41"/>
        <v>21170640</v>
      </c>
      <c r="G46" s="58">
        <f t="shared" si="41"/>
        <v>22789492</v>
      </c>
      <c r="H46" s="58">
        <f t="shared" si="41"/>
        <v>14273944</v>
      </c>
      <c r="I46" s="58">
        <f t="shared" si="41"/>
        <v>10065331</v>
      </c>
      <c r="J46" s="58">
        <f t="shared" si="41"/>
        <v>4877351</v>
      </c>
      <c r="L46" s="59">
        <f t="shared" ref="L46:T46" si="42">IFERROR(B46/B24,"")</f>
        <v>0.49741010248470768</v>
      </c>
      <c r="M46" s="59">
        <f t="shared" si="42"/>
        <v>0.46200912288073454</v>
      </c>
      <c r="N46" s="59">
        <f t="shared" si="42"/>
        <v>0.46200913581605374</v>
      </c>
      <c r="O46" s="59">
        <f t="shared" si="42"/>
        <v>0.37935947861513597</v>
      </c>
      <c r="P46" s="59">
        <f t="shared" si="42"/>
        <v>0.37935945560248774</v>
      </c>
      <c r="Q46" s="59">
        <f t="shared" si="42"/>
        <v>0.41282542971484049</v>
      </c>
      <c r="R46" s="59">
        <f t="shared" si="42"/>
        <v>0.42951752030022894</v>
      </c>
      <c r="S46" s="59">
        <f t="shared" si="42"/>
        <v>0.48743615898022313</v>
      </c>
      <c r="T46" s="59">
        <f t="shared" si="42"/>
        <v>0.51325981874192728</v>
      </c>
    </row>
    <row r="47" spans="1:20" ht="15" customHeight="1" x14ac:dyDescent="0.2">
      <c r="A47" s="60"/>
      <c r="B47" s="61"/>
      <c r="C47" s="61"/>
      <c r="D47" s="61"/>
      <c r="E47" s="61"/>
      <c r="F47" s="61"/>
      <c r="G47" s="61"/>
      <c r="H47" s="61"/>
      <c r="I47" s="61"/>
      <c r="J47" s="61"/>
    </row>
    <row r="48" spans="1:20" ht="15.75" customHeight="1" x14ac:dyDescent="0.2">
      <c r="A48" s="53" t="s">
        <v>306</v>
      </c>
      <c r="B48" s="53"/>
      <c r="C48" s="53"/>
      <c r="D48" s="53"/>
      <c r="E48" s="53"/>
      <c r="F48" s="53"/>
      <c r="G48" s="53"/>
      <c r="H48" s="53"/>
      <c r="I48" s="53"/>
      <c r="J48" s="53"/>
    </row>
    <row r="49" spans="1:20" ht="15" customHeight="1" x14ac:dyDescent="0.2">
      <c r="A49" s="54" t="s">
        <v>443</v>
      </c>
      <c r="B49" s="55">
        <v>1226338</v>
      </c>
      <c r="C49" s="55">
        <v>1226338</v>
      </c>
      <c r="D49" s="55">
        <v>1226338</v>
      </c>
      <c r="E49" s="55">
        <v>1226338</v>
      </c>
      <c r="F49" s="55">
        <v>1226338</v>
      </c>
      <c r="G49" s="55">
        <v>1226338</v>
      </c>
      <c r="H49" s="55">
        <v>1226338</v>
      </c>
      <c r="I49" s="55">
        <v>1226338</v>
      </c>
      <c r="J49" s="55">
        <v>613169</v>
      </c>
      <c r="L49" s="10">
        <f t="shared" ref="L49:T49" si="43">IFERROR(B49/B24,"")</f>
        <v>9.4631814552763056E-3</v>
      </c>
      <c r="M49" s="10">
        <f t="shared" si="43"/>
        <v>1.1319104845029477E-2</v>
      </c>
      <c r="N49" s="10">
        <f t="shared" si="43"/>
        <v>1.481557673284988E-2</v>
      </c>
      <c r="O49" s="10">
        <f t="shared" si="43"/>
        <v>1.5220189465195025E-2</v>
      </c>
      <c r="P49" s="10">
        <f t="shared" si="43"/>
        <v>2.1974910350591369E-2</v>
      </c>
      <c r="Q49" s="10">
        <f t="shared" si="43"/>
        <v>2.2214778277007581E-2</v>
      </c>
      <c r="R49" s="10">
        <f t="shared" si="43"/>
        <v>3.6901760074856828E-2</v>
      </c>
      <c r="S49" s="10">
        <f t="shared" si="43"/>
        <v>5.9388159647356741E-2</v>
      </c>
      <c r="T49" s="10">
        <f t="shared" si="43"/>
        <v>6.4525807102701616E-2</v>
      </c>
    </row>
    <row r="50" spans="1:20" ht="15" customHeight="1" x14ac:dyDescent="0.2">
      <c r="A50" s="54" t="s">
        <v>444</v>
      </c>
      <c r="B50" s="55">
        <v>17396662</v>
      </c>
      <c r="C50" s="55">
        <v>17396662</v>
      </c>
      <c r="D50" s="55">
        <v>13001640</v>
      </c>
      <c r="E50" s="55">
        <v>13001640</v>
      </c>
      <c r="F50" s="55">
        <v>8628197</v>
      </c>
      <c r="G50" s="55">
        <v>8628197</v>
      </c>
      <c r="H50" s="55">
        <v>10727</v>
      </c>
      <c r="I50" s="55">
        <v>10727</v>
      </c>
      <c r="J50" s="55">
        <v>247404</v>
      </c>
      <c r="L50" s="10">
        <f t="shared" ref="L50:T50" si="44">IFERROR(B50/B24,"")</f>
        <v>0.13424338903476041</v>
      </c>
      <c r="M50" s="10">
        <f t="shared" si="44"/>
        <v>0.16057126267924518</v>
      </c>
      <c r="N50" s="10">
        <f t="shared" si="44"/>
        <v>0.15707479917680958</v>
      </c>
      <c r="O50" s="10">
        <f t="shared" si="44"/>
        <v>0.1613645048577621</v>
      </c>
      <c r="P50" s="10">
        <f t="shared" si="44"/>
        <v>0.15460978585205823</v>
      </c>
      <c r="Q50" s="10">
        <f t="shared" si="44"/>
        <v>0.1562974345452412</v>
      </c>
      <c r="R50" s="10">
        <f t="shared" si="44"/>
        <v>3.2278636095675839E-4</v>
      </c>
      <c r="S50" s="10">
        <f t="shared" si="44"/>
        <v>5.1947895974616771E-4</v>
      </c>
      <c r="T50" s="10">
        <f t="shared" si="44"/>
        <v>2.6035143297258652E-2</v>
      </c>
    </row>
    <row r="51" spans="1:20" ht="15" customHeight="1" x14ac:dyDescent="0.2">
      <c r="A51" s="54" t="s">
        <v>445</v>
      </c>
      <c r="B51" s="55">
        <v>-81136</v>
      </c>
      <c r="C51" s="55">
        <v>-81136</v>
      </c>
      <c r="D51" s="55">
        <v>-61988</v>
      </c>
      <c r="E51" s="55">
        <v>-61988</v>
      </c>
      <c r="F51" s="55">
        <v>-42934</v>
      </c>
      <c r="G51" s="55">
        <v>0</v>
      </c>
      <c r="H51" s="55">
        <v>0</v>
      </c>
      <c r="I51" s="55">
        <v>0</v>
      </c>
      <c r="J51" s="55">
        <v>0</v>
      </c>
      <c r="L51" s="10">
        <f t="shared" ref="L51:T51" si="45">IFERROR(B51/B24,"")</f>
        <v>-6.2609548962463718E-4</v>
      </c>
      <c r="M51" s="10">
        <f t="shared" si="45"/>
        <v>-7.4888561775490249E-4</v>
      </c>
      <c r="N51" s="10">
        <f t="shared" si="45"/>
        <v>-7.4888649827037758E-4</v>
      </c>
      <c r="O51" s="10">
        <f t="shared" si="45"/>
        <v>-7.6933855476101149E-4</v>
      </c>
      <c r="P51" s="10">
        <f t="shared" si="45"/>
        <v>-7.6933993808582111E-4</v>
      </c>
      <c r="Q51" s="10">
        <f t="shared" si="45"/>
        <v>0</v>
      </c>
      <c r="R51" s="10">
        <f t="shared" si="45"/>
        <v>0</v>
      </c>
      <c r="S51" s="10">
        <f t="shared" si="45"/>
        <v>0</v>
      </c>
      <c r="T51" s="10">
        <f t="shared" si="45"/>
        <v>0</v>
      </c>
    </row>
    <row r="52" spans="1:20" ht="15" customHeight="1" x14ac:dyDescent="0.2">
      <c r="A52" s="54" t="s">
        <v>446</v>
      </c>
      <c r="B52" s="55">
        <v>9727908</v>
      </c>
      <c r="C52" s="55">
        <v>6275752</v>
      </c>
      <c r="D52" s="55">
        <v>4794677</v>
      </c>
      <c r="E52" s="55">
        <v>4804145</v>
      </c>
      <c r="F52" s="55">
        <v>3327431</v>
      </c>
      <c r="G52" s="55">
        <v>3207688</v>
      </c>
      <c r="H52" s="55">
        <v>6142637</v>
      </c>
      <c r="I52" s="55">
        <v>3740068</v>
      </c>
      <c r="J52" s="55">
        <v>2196268</v>
      </c>
      <c r="L52" s="10">
        <f t="shared" ref="L52:T52" si="46">IFERROR(B52/B24,"")</f>
        <v>7.5066546567287326E-2</v>
      </c>
      <c r="M52" s="10">
        <f t="shared" si="46"/>
        <v>5.7925217084852154E-2</v>
      </c>
      <c r="N52" s="10">
        <f t="shared" si="46"/>
        <v>5.7925225347930556E-2</v>
      </c>
      <c r="O52" s="10">
        <f t="shared" si="46"/>
        <v>5.9624668825616886E-2</v>
      </c>
      <c r="P52" s="10">
        <f t="shared" si="46"/>
        <v>5.9624669481642571E-2</v>
      </c>
      <c r="Q52" s="10">
        <f t="shared" si="46"/>
        <v>5.8106392937198305E-2</v>
      </c>
      <c r="R52" s="10">
        <f t="shared" si="46"/>
        <v>0.18483820675942383</v>
      </c>
      <c r="S52" s="10">
        <f t="shared" si="46"/>
        <v>0.18112115540411391</v>
      </c>
      <c r="T52" s="10">
        <f t="shared" si="46"/>
        <v>0.23112056433680805</v>
      </c>
    </row>
    <row r="53" spans="1:20" ht="15" customHeight="1" x14ac:dyDescent="0.2">
      <c r="A53" s="54" t="s">
        <v>447</v>
      </c>
      <c r="B53" s="55">
        <v>-10978487</v>
      </c>
      <c r="C53" s="55">
        <v>-8773326</v>
      </c>
      <c r="D53" s="55">
        <v>-6702823</v>
      </c>
      <c r="E53" s="55">
        <v>485705</v>
      </c>
      <c r="F53" s="55">
        <v>336407</v>
      </c>
      <c r="G53" s="55">
        <v>3078065</v>
      </c>
      <c r="H53" s="55">
        <v>3960108</v>
      </c>
      <c r="I53" s="55">
        <v>2514679</v>
      </c>
      <c r="J53" s="55">
        <v>520340</v>
      </c>
      <c r="L53" s="10">
        <f t="shared" ref="L53:T53" si="47">IFERROR(B53/B24,"")</f>
        <v>-8.4716786551009587E-2</v>
      </c>
      <c r="M53" s="10">
        <f t="shared" si="47"/>
        <v>-8.0977835501813589E-2</v>
      </c>
      <c r="N53" s="10">
        <f t="shared" si="47"/>
        <v>-8.097782869258803E-2</v>
      </c>
      <c r="O53" s="10">
        <f t="shared" si="47"/>
        <v>6.0281277463411801E-3</v>
      </c>
      <c r="P53" s="10">
        <f t="shared" si="47"/>
        <v>6.0281208494814562E-3</v>
      </c>
      <c r="Q53" s="10">
        <f t="shared" si="47"/>
        <v>5.5758307658424794E-2</v>
      </c>
      <c r="R53" s="10">
        <f t="shared" si="47"/>
        <v>0.11916368512312357</v>
      </c>
      <c r="S53" s="10">
        <f t="shared" si="47"/>
        <v>0.12177895320364811</v>
      </c>
      <c r="T53" s="10">
        <f t="shared" si="47"/>
        <v>5.4757103617142679E-2</v>
      </c>
    </row>
    <row r="54" spans="1:20" ht="15" customHeight="1" x14ac:dyDescent="0.2">
      <c r="A54" s="54" t="s">
        <v>448</v>
      </c>
      <c r="B54" s="55">
        <v>0</v>
      </c>
      <c r="C54" s="55">
        <v>-1053662</v>
      </c>
      <c r="D54" s="55">
        <v>-804998</v>
      </c>
      <c r="E54" s="55">
        <v>-2059722</v>
      </c>
      <c r="F54" s="55">
        <v>-1426598</v>
      </c>
      <c r="G54" s="55">
        <v>-2021934</v>
      </c>
      <c r="H54" s="55">
        <v>-911613</v>
      </c>
      <c r="I54" s="55">
        <v>-535290</v>
      </c>
      <c r="J54" s="55">
        <v>-26366</v>
      </c>
      <c r="L54" s="10">
        <f t="shared" ref="L54:T54" si="48">IFERROR(B54/B24,"")</f>
        <v>0</v>
      </c>
      <c r="M54" s="10">
        <f t="shared" si="48"/>
        <v>-9.7253046462096489E-3</v>
      </c>
      <c r="N54" s="10">
        <f t="shared" si="48"/>
        <v>-9.7253038222665268E-3</v>
      </c>
      <c r="O54" s="10">
        <f t="shared" si="48"/>
        <v>-2.5563392054743821E-2</v>
      </c>
      <c r="P54" s="10">
        <f t="shared" si="48"/>
        <v>-2.556339537414069E-2</v>
      </c>
      <c r="Q54" s="10">
        <f t="shared" si="48"/>
        <v>-3.6626782747287492E-2</v>
      </c>
      <c r="R54" s="10">
        <f t="shared" si="48"/>
        <v>-2.7431364115864023E-2</v>
      </c>
      <c r="S54" s="10">
        <f t="shared" si="48"/>
        <v>-2.5922615117229989E-2</v>
      </c>
      <c r="T54" s="10">
        <f t="shared" si="48"/>
        <v>-2.7745816081208127E-3</v>
      </c>
    </row>
    <row r="55" spans="1:20" ht="15" customHeight="1" x14ac:dyDescent="0.2">
      <c r="A55" s="54" t="s">
        <v>449</v>
      </c>
      <c r="B55" s="55">
        <v>3626538</v>
      </c>
      <c r="C55" s="55">
        <v>3626538</v>
      </c>
      <c r="D55" s="55">
        <v>2770676</v>
      </c>
      <c r="E55" s="55">
        <v>1882876</v>
      </c>
      <c r="F55" s="55">
        <v>1304112</v>
      </c>
      <c r="G55" s="55">
        <v>1003991</v>
      </c>
      <c r="H55" s="55">
        <v>332248</v>
      </c>
      <c r="I55" s="55">
        <v>82932</v>
      </c>
      <c r="J55" s="55">
        <v>68743</v>
      </c>
      <c r="L55" s="10">
        <f t="shared" ref="L55:T55" si="49">IFERROR(B55/B24,"")</f>
        <v>2.7984607138044178E-2</v>
      </c>
      <c r="M55" s="10">
        <f t="shared" si="49"/>
        <v>3.3472960836640066E-2</v>
      </c>
      <c r="N55" s="10">
        <f t="shared" si="49"/>
        <v>3.3472960048425128E-2</v>
      </c>
      <c r="O55" s="10">
        <f t="shared" si="49"/>
        <v>2.3368540695524846E-2</v>
      </c>
      <c r="P55" s="10">
        <f t="shared" si="49"/>
        <v>2.3368552786532267E-2</v>
      </c>
      <c r="Q55" s="10">
        <f t="shared" si="49"/>
        <v>1.8187023036969514E-2</v>
      </c>
      <c r="R55" s="10">
        <f t="shared" si="49"/>
        <v>9.9976808851646379E-3</v>
      </c>
      <c r="S55" s="10">
        <f t="shared" si="49"/>
        <v>4.0161675295673702E-3</v>
      </c>
      <c r="T55" s="10">
        <f t="shared" si="49"/>
        <v>7.2340538377853687E-3</v>
      </c>
    </row>
    <row r="56" spans="1:20" ht="15" customHeight="1" x14ac:dyDescent="0.2">
      <c r="A56" s="54" t="s">
        <v>450</v>
      </c>
      <c r="B56" s="55">
        <v>34989567</v>
      </c>
      <c r="C56" s="55">
        <v>31956801</v>
      </c>
      <c r="D56" s="55">
        <v>24415006</v>
      </c>
      <c r="E56" s="55">
        <v>18595556</v>
      </c>
      <c r="F56" s="55">
        <v>12879593</v>
      </c>
      <c r="G56" s="55">
        <v>8826027</v>
      </c>
      <c r="H56" s="55">
        <v>1886123</v>
      </c>
      <c r="I56" s="55">
        <v>932614</v>
      </c>
      <c r="J56" s="55">
        <v>129592</v>
      </c>
      <c r="L56" s="10">
        <f t="shared" ref="L56:T56" si="50">IFERROR(B56/B24,"")</f>
        <v>0.27000111026694745</v>
      </c>
      <c r="M56" s="10">
        <f t="shared" si="50"/>
        <v>0.29496140626054385</v>
      </c>
      <c r="N56" s="10">
        <f t="shared" si="50"/>
        <v>0.29496141750968347</v>
      </c>
      <c r="O56" s="10">
        <f t="shared" si="50"/>
        <v>0.23079109146959823</v>
      </c>
      <c r="P56" s="10">
        <f t="shared" si="50"/>
        <v>0.23079110451368556</v>
      </c>
      <c r="Q56" s="10">
        <f t="shared" si="50"/>
        <v>0.15988107101947618</v>
      </c>
      <c r="R56" s="10">
        <f t="shared" si="50"/>
        <v>5.6755363054613969E-2</v>
      </c>
      <c r="S56" s="10">
        <f t="shared" si="50"/>
        <v>4.5163918203105474E-2</v>
      </c>
      <c r="T56" s="10">
        <f t="shared" si="50"/>
        <v>1.3637395879526374E-2</v>
      </c>
    </row>
    <row r="57" spans="1:20" ht="15" customHeight="1" x14ac:dyDescent="0.2">
      <c r="A57" s="54" t="s">
        <v>451</v>
      </c>
      <c r="B57" s="55">
        <v>3652368</v>
      </c>
      <c r="C57" s="55">
        <v>2627314</v>
      </c>
      <c r="D57" s="55">
        <v>2007269</v>
      </c>
      <c r="E57" s="55">
        <v>7935940</v>
      </c>
      <c r="F57" s="55">
        <v>5496565</v>
      </c>
      <c r="G57" s="55">
        <v>5581566</v>
      </c>
      <c r="H57" s="55">
        <v>4561511</v>
      </c>
      <c r="I57" s="55">
        <v>1679750</v>
      </c>
      <c r="J57" s="55">
        <v>470036</v>
      </c>
      <c r="L57" s="10">
        <f t="shared" ref="L57:T57" si="51">IFERROR(B57/B24,"")</f>
        <v>2.8183927371935476E-2</v>
      </c>
      <c r="M57" s="10">
        <f t="shared" si="51"/>
        <v>2.4250119157046241E-2</v>
      </c>
      <c r="N57" s="10">
        <f t="shared" si="51"/>
        <v>2.4250123451259639E-2</v>
      </c>
      <c r="O57" s="10">
        <f t="shared" si="51"/>
        <v>9.8493653776055068E-2</v>
      </c>
      <c r="P57" s="10">
        <f t="shared" si="51"/>
        <v>9.8493664153926769E-2</v>
      </c>
      <c r="Q57" s="10">
        <f t="shared" si="51"/>
        <v>0.1011085452203912</v>
      </c>
      <c r="R57" s="10">
        <f t="shared" si="51"/>
        <v>0.13726051423084029</v>
      </c>
      <c r="S57" s="10">
        <f t="shared" si="51"/>
        <v>8.1345649541682219E-2</v>
      </c>
      <c r="T57" s="10">
        <f t="shared" si="51"/>
        <v>4.9463446892007677E-2</v>
      </c>
    </row>
    <row r="58" spans="1:20" ht="15" customHeight="1" x14ac:dyDescent="0.2">
      <c r="A58" s="62" t="s">
        <v>452</v>
      </c>
      <c r="B58" s="63">
        <f t="shared" ref="B58:J58" si="52">SUM(B49:B57)</f>
        <v>59559758</v>
      </c>
      <c r="C58" s="63">
        <f t="shared" si="52"/>
        <v>53201281</v>
      </c>
      <c r="D58" s="63">
        <f t="shared" si="52"/>
        <v>40645797</v>
      </c>
      <c r="E58" s="63">
        <f t="shared" si="52"/>
        <v>45810490</v>
      </c>
      <c r="F58" s="63">
        <f t="shared" si="52"/>
        <v>31729111</v>
      </c>
      <c r="G58" s="63">
        <f t="shared" si="52"/>
        <v>29529938</v>
      </c>
      <c r="H58" s="63">
        <f t="shared" si="52"/>
        <v>17208079</v>
      </c>
      <c r="I58" s="63">
        <f t="shared" si="52"/>
        <v>9651818</v>
      </c>
      <c r="J58" s="63">
        <f t="shared" si="52"/>
        <v>4219186</v>
      </c>
      <c r="L58" s="37">
        <f t="shared" ref="L58:T58" si="53">IFERROR(B58/B24,"")</f>
        <v>0.45959987979361688</v>
      </c>
      <c r="M58" s="37">
        <f t="shared" si="53"/>
        <v>0.49104804509757882</v>
      </c>
      <c r="N58" s="37">
        <f t="shared" si="53"/>
        <v>0.49104808325383331</v>
      </c>
      <c r="O58" s="37">
        <f t="shared" si="53"/>
        <v>0.56855804622658845</v>
      </c>
      <c r="P58" s="37">
        <f t="shared" si="53"/>
        <v>0.56855807267569169</v>
      </c>
      <c r="Q58" s="37">
        <f t="shared" si="53"/>
        <v>0.53492676994742128</v>
      </c>
      <c r="R58" s="37">
        <f t="shared" si="53"/>
        <v>0.51780863237311592</v>
      </c>
      <c r="S58" s="37">
        <f t="shared" si="53"/>
        <v>0.46741086737199</v>
      </c>
      <c r="T58" s="37">
        <f t="shared" si="53"/>
        <v>0.44399893335510959</v>
      </c>
    </row>
    <row r="59" spans="1:20" ht="15" customHeight="1" x14ac:dyDescent="0.2">
      <c r="A59" s="54" t="s">
        <v>453</v>
      </c>
      <c r="B59" s="55">
        <v>5571092</v>
      </c>
      <c r="C59" s="55">
        <v>5085891</v>
      </c>
      <c r="D59" s="55">
        <v>3885622</v>
      </c>
      <c r="E59" s="55">
        <v>4196447</v>
      </c>
      <c r="F59" s="55">
        <v>2906530</v>
      </c>
      <c r="G59" s="55">
        <v>2884272</v>
      </c>
      <c r="H59" s="55">
        <v>1750483</v>
      </c>
      <c r="I59" s="55">
        <v>932390</v>
      </c>
      <c r="J59" s="55">
        <v>406159</v>
      </c>
      <c r="L59" s="10">
        <f t="shared" ref="L59:T59" si="54">IFERROR(B59/B24,"")</f>
        <v>4.2989986855204831E-2</v>
      </c>
      <c r="M59" s="10">
        <f t="shared" si="54"/>
        <v>4.6942795101670022E-2</v>
      </c>
      <c r="N59" s="10">
        <f t="shared" si="54"/>
        <v>4.6942793011265749E-2</v>
      </c>
      <c r="O59" s="10">
        <f t="shared" si="54"/>
        <v>5.2082475158275507E-2</v>
      </c>
      <c r="P59" s="10">
        <f t="shared" si="54"/>
        <v>5.2082489640950802E-2</v>
      </c>
      <c r="Q59" s="10">
        <f t="shared" si="54"/>
        <v>5.2247800337738216E-2</v>
      </c>
      <c r="R59" s="10">
        <f t="shared" si="54"/>
        <v>5.2673817235636182E-2</v>
      </c>
      <c r="S59" s="10">
        <f t="shared" si="54"/>
        <v>4.5153070502258717E-2</v>
      </c>
      <c r="T59" s="10">
        <f t="shared" si="54"/>
        <v>4.2741458369594983E-2</v>
      </c>
    </row>
    <row r="60" spans="1:20" ht="15.75" customHeight="1" x14ac:dyDescent="0.2">
      <c r="A60" s="57" t="s">
        <v>70</v>
      </c>
      <c r="B60" s="58">
        <f t="shared" ref="B60:J60" si="55">B58+B59</f>
        <v>65130850</v>
      </c>
      <c r="C60" s="58">
        <f t="shared" si="55"/>
        <v>58287172</v>
      </c>
      <c r="D60" s="58">
        <f t="shared" si="55"/>
        <v>44531419</v>
      </c>
      <c r="E60" s="58">
        <f t="shared" si="55"/>
        <v>50006937</v>
      </c>
      <c r="F60" s="58">
        <f t="shared" si="55"/>
        <v>34635641</v>
      </c>
      <c r="G60" s="58">
        <f t="shared" si="55"/>
        <v>32414210</v>
      </c>
      <c r="H60" s="58">
        <f t="shared" si="55"/>
        <v>18958562</v>
      </c>
      <c r="I60" s="58">
        <f t="shared" si="55"/>
        <v>10584208</v>
      </c>
      <c r="J60" s="58">
        <f t="shared" si="55"/>
        <v>4625345</v>
      </c>
      <c r="L60" s="59">
        <f t="shared" ref="L60:T60" si="56">IFERROR(B60/B24,"")</f>
        <v>0.50258986664882177</v>
      </c>
      <c r="M60" s="59">
        <f t="shared" si="56"/>
        <v>0.53799084019924881</v>
      </c>
      <c r="N60" s="59">
        <f t="shared" si="56"/>
        <v>0.53799087626509901</v>
      </c>
      <c r="O60" s="59">
        <f t="shared" si="56"/>
        <v>0.62064052138486403</v>
      </c>
      <c r="P60" s="59">
        <f t="shared" si="56"/>
        <v>0.62064056231664255</v>
      </c>
      <c r="Q60" s="59">
        <f t="shared" si="56"/>
        <v>0.58717457028515951</v>
      </c>
      <c r="R60" s="59">
        <f t="shared" si="56"/>
        <v>0.57048244960875205</v>
      </c>
      <c r="S60" s="59">
        <f t="shared" si="56"/>
        <v>0.5125639378742487</v>
      </c>
      <c r="T60" s="59">
        <f t="shared" si="56"/>
        <v>0.48674039172470457</v>
      </c>
    </row>
    <row r="61" spans="1:20" ht="15.75" customHeight="1" x14ac:dyDescent="0.2">
      <c r="A61" s="57" t="s">
        <v>454</v>
      </c>
      <c r="B61" s="58">
        <f t="shared" ref="B61:J61" si="57">B46+B60</f>
        <v>129590452</v>
      </c>
      <c r="C61" s="58">
        <f t="shared" si="57"/>
        <v>108342309</v>
      </c>
      <c r="D61" s="58">
        <f t="shared" si="57"/>
        <v>82773559</v>
      </c>
      <c r="E61" s="58">
        <f t="shared" si="57"/>
        <v>80573110</v>
      </c>
      <c r="F61" s="58">
        <f t="shared" si="57"/>
        <v>55806281</v>
      </c>
      <c r="G61" s="58">
        <f t="shared" si="57"/>
        <v>55203702</v>
      </c>
      <c r="H61" s="58">
        <f t="shared" si="57"/>
        <v>33232506</v>
      </c>
      <c r="I61" s="58">
        <f t="shared" si="57"/>
        <v>20649539</v>
      </c>
      <c r="J61" s="58">
        <f t="shared" si="57"/>
        <v>9502696</v>
      </c>
      <c r="L61" s="59">
        <f t="shared" ref="L61:T61" si="58">IFERROR(B61/B24,"")</f>
        <v>0.9999999691335294</v>
      </c>
      <c r="M61" s="59">
        <f t="shared" si="58"/>
        <v>0.9999999630799834</v>
      </c>
      <c r="N61" s="59">
        <f t="shared" si="58"/>
        <v>1.0000000120811527</v>
      </c>
      <c r="O61" s="59">
        <f t="shared" si="58"/>
        <v>1</v>
      </c>
      <c r="P61" s="59">
        <f t="shared" si="58"/>
        <v>1.0000000179191302</v>
      </c>
      <c r="Q61" s="59">
        <f t="shared" si="58"/>
        <v>1</v>
      </c>
      <c r="R61" s="59">
        <f t="shared" si="58"/>
        <v>0.99999996990898099</v>
      </c>
      <c r="S61" s="59">
        <f t="shared" si="58"/>
        <v>1.0000000968544718</v>
      </c>
      <c r="T61" s="59">
        <f t="shared" si="58"/>
        <v>1.0000002104666319</v>
      </c>
    </row>
    <row r="64" spans="1:20" ht="21.75" customHeight="1" x14ac:dyDescent="0.2">
      <c r="L64" s="254" t="s">
        <v>314</v>
      </c>
      <c r="M64" s="254"/>
      <c r="N64" s="254"/>
      <c r="O64" s="254"/>
      <c r="P64" s="254"/>
      <c r="Q64" s="254"/>
      <c r="R64" s="254"/>
      <c r="S64" s="254"/>
      <c r="T64" s="254"/>
    </row>
    <row r="65" spans="11:16" ht="15" customHeight="1" x14ac:dyDescent="0.2">
      <c r="L65" s="2" t="s">
        <v>315</v>
      </c>
      <c r="M65" s="2" t="s">
        <v>316</v>
      </c>
      <c r="N65" s="2" t="s">
        <v>317</v>
      </c>
      <c r="O65" s="2" t="s">
        <v>318</v>
      </c>
      <c r="P65" s="2" t="s">
        <v>319</v>
      </c>
    </row>
    <row r="66" spans="11:16" ht="15" customHeight="1" x14ac:dyDescent="0.2">
      <c r="K66" s="8" t="s">
        <v>410</v>
      </c>
      <c r="L66" s="10">
        <f t="shared" ref="L66:L75" si="59">IFERROR((B5-C5)/ABS(C5),"-")</f>
        <v>3.7242914167173269</v>
      </c>
      <c r="M66" s="10">
        <f t="shared" ref="M66:M75" si="60">IFERROR((D5-E5)/ABS(E5),"-")</f>
        <v>-8.1247696381565482E-2</v>
      </c>
      <c r="N66" s="10">
        <f t="shared" ref="N66:N75" si="61">IFERROR((F5-G5)/ABS(G5),"-")</f>
        <v>-0.48533438483149161</v>
      </c>
      <c r="O66" s="10">
        <f t="shared" ref="O66:O75" si="62">IFERROR((H5-I5)/ABS(I5),"-")</f>
        <v>0.786433061051797</v>
      </c>
      <c r="P66" s="10">
        <f t="shared" ref="P66:P75" si="63">IFERROR((I5-J5)/ABS(J5),"-")</f>
        <v>0.67011064003157506</v>
      </c>
    </row>
    <row r="67" spans="11:16" ht="15" customHeight="1" x14ac:dyDescent="0.2">
      <c r="K67" s="8" t="s">
        <v>411</v>
      </c>
      <c r="L67" s="10" t="str">
        <f t="shared" si="59"/>
        <v>-</v>
      </c>
      <c r="M67" s="10">
        <f t="shared" si="60"/>
        <v>-1</v>
      </c>
      <c r="N67" s="10">
        <f t="shared" si="61"/>
        <v>0.73564702759874667</v>
      </c>
      <c r="O67" s="10">
        <f t="shared" si="62"/>
        <v>-0.48326680528784133</v>
      </c>
      <c r="P67" s="10" t="str">
        <f t="shared" si="63"/>
        <v>-</v>
      </c>
    </row>
    <row r="68" spans="11:16" ht="15" customHeight="1" x14ac:dyDescent="0.2">
      <c r="K68" s="8" t="s">
        <v>412</v>
      </c>
      <c r="L68" s="10">
        <f t="shared" si="59"/>
        <v>-0.41449328530559193</v>
      </c>
      <c r="M68" s="10">
        <f t="shared" si="60"/>
        <v>-0.48914099344593676</v>
      </c>
      <c r="N68" s="10">
        <f t="shared" si="61"/>
        <v>-0.10913300814172969</v>
      </c>
      <c r="O68" s="10">
        <f t="shared" si="62"/>
        <v>0.73009423946976038</v>
      </c>
      <c r="P68" s="10">
        <f t="shared" si="63"/>
        <v>0.96912500646801847</v>
      </c>
    </row>
    <row r="69" spans="11:16" ht="15" customHeight="1" x14ac:dyDescent="0.2">
      <c r="K69" s="8" t="s">
        <v>413</v>
      </c>
      <c r="L69" s="10">
        <f t="shared" si="59"/>
        <v>-1.658392089782636E-2</v>
      </c>
      <c r="M69" s="10">
        <f t="shared" si="60"/>
        <v>-0.11161645563479358</v>
      </c>
      <c r="N69" s="10">
        <f t="shared" si="61"/>
        <v>-0.40560597860027481</v>
      </c>
      <c r="O69" s="10">
        <f t="shared" si="62"/>
        <v>-0.42166965870882633</v>
      </c>
      <c r="P69" s="10">
        <f t="shared" si="63"/>
        <v>0.3194309943204125</v>
      </c>
    </row>
    <row r="70" spans="11:16" ht="15" customHeight="1" x14ac:dyDescent="0.2">
      <c r="K70" s="8" t="s">
        <v>414</v>
      </c>
      <c r="L70" s="10">
        <f t="shared" si="59"/>
        <v>-1</v>
      </c>
      <c r="M70" s="10">
        <f t="shared" si="60"/>
        <v>-0.8734497933057741</v>
      </c>
      <c r="N70" s="10">
        <f t="shared" si="61"/>
        <v>-0.30196489530414211</v>
      </c>
      <c r="O70" s="10">
        <f t="shared" si="62"/>
        <v>4.8509976677895832</v>
      </c>
      <c r="P70" s="10">
        <f t="shared" si="63"/>
        <v>0.79571893904141466</v>
      </c>
    </row>
    <row r="71" spans="11:16" ht="15" customHeight="1" x14ac:dyDescent="0.2">
      <c r="K71" s="8" t="s">
        <v>415</v>
      </c>
      <c r="L71" s="10">
        <f t="shared" si="59"/>
        <v>0.23302333703850514</v>
      </c>
      <c r="M71" s="10">
        <f t="shared" si="60"/>
        <v>6.5305516646413292E-2</v>
      </c>
      <c r="N71" s="10">
        <f t="shared" si="61"/>
        <v>1.7947403881544883</v>
      </c>
      <c r="O71" s="10">
        <f t="shared" si="62"/>
        <v>8.4281105643146531E-2</v>
      </c>
      <c r="P71" s="10">
        <f t="shared" si="63"/>
        <v>0.62917952907325603</v>
      </c>
    </row>
    <row r="72" spans="11:16" ht="15" customHeight="1" x14ac:dyDescent="0.2">
      <c r="K72" s="8" t="s">
        <v>416</v>
      </c>
      <c r="L72" s="10">
        <f t="shared" si="59"/>
        <v>-0.44450828729281766</v>
      </c>
      <c r="M72" s="10">
        <f t="shared" si="60"/>
        <v>0.39957443156331623</v>
      </c>
      <c r="N72" s="10">
        <f t="shared" si="61"/>
        <v>-0.21370044838432734</v>
      </c>
      <c r="O72" s="10">
        <f t="shared" si="62"/>
        <v>0.94666124620165504</v>
      </c>
      <c r="P72" s="10">
        <f t="shared" si="63"/>
        <v>0.25103657537907198</v>
      </c>
    </row>
    <row r="73" spans="11:16" ht="15" customHeight="1" x14ac:dyDescent="0.2">
      <c r="K73" s="8" t="s">
        <v>417</v>
      </c>
      <c r="L73" s="10">
        <f t="shared" si="59"/>
        <v>5.3667244164995811</v>
      </c>
      <c r="M73" s="10">
        <f t="shared" si="60"/>
        <v>0.15398412231696559</v>
      </c>
      <c r="N73" s="10">
        <f t="shared" si="61"/>
        <v>-0.90360755557010508</v>
      </c>
      <c r="O73" s="10">
        <f t="shared" si="62"/>
        <v>148.65993945509587</v>
      </c>
      <c r="P73" s="10">
        <f t="shared" si="63"/>
        <v>-0.97365972942083301</v>
      </c>
    </row>
    <row r="74" spans="11:16" ht="15" customHeight="1" x14ac:dyDescent="0.2">
      <c r="K74" s="8" t="s">
        <v>418</v>
      </c>
      <c r="L74" s="10">
        <f t="shared" si="59"/>
        <v>0.37059588974802932</v>
      </c>
      <c r="M74" s="10">
        <f t="shared" si="60"/>
        <v>1.1437643618762816</v>
      </c>
      <c r="N74" s="10">
        <f t="shared" si="61"/>
        <v>0.40106517724976726</v>
      </c>
      <c r="O74" s="10">
        <f t="shared" si="62"/>
        <v>-4.1945306326967177E-2</v>
      </c>
      <c r="P74" s="10">
        <f t="shared" si="63"/>
        <v>1.8248519904729499</v>
      </c>
    </row>
    <row r="75" spans="11:16" ht="15" customHeight="1" x14ac:dyDescent="0.2">
      <c r="K75" s="1" t="s">
        <v>56</v>
      </c>
      <c r="L75" s="59">
        <f t="shared" si="59"/>
        <v>3.0960493164751968E-2</v>
      </c>
      <c r="M75" s="59">
        <f t="shared" si="60"/>
        <v>-0.39963196642365334</v>
      </c>
      <c r="N75" s="59">
        <f t="shared" si="61"/>
        <v>-9.1249645672374924E-2</v>
      </c>
      <c r="O75" s="59">
        <f t="shared" si="62"/>
        <v>0.60133859814001767</v>
      </c>
      <c r="P75" s="59">
        <f t="shared" si="63"/>
        <v>1.0581832060495706</v>
      </c>
    </row>
    <row r="76" spans="11:16" ht="15" customHeight="1" x14ac:dyDescent="0.2">
      <c r="K76" s="8" t="s">
        <v>419</v>
      </c>
      <c r="L76" s="10">
        <f t="shared" ref="L76:L84" si="64">IFERROR((B16-C16)/ABS(C16),"-")</f>
        <v>0</v>
      </c>
      <c r="M76" s="10">
        <f t="shared" ref="M76:M84" si="65">IFERROR((D16-E16)/ABS(E16),"-")</f>
        <v>0.36764376818080108</v>
      </c>
      <c r="N76" s="10">
        <f t="shared" ref="N76:N84" si="66">IFERROR((F16-G16)/ABS(G16),"-")</f>
        <v>0</v>
      </c>
      <c r="O76" s="10">
        <f t="shared" ref="O76:O84" si="67">IFERROR((H16-I16)/ABS(I16),"-")</f>
        <v>0</v>
      </c>
      <c r="P76" s="10">
        <f t="shared" ref="P76:P84" si="68">IFERROR((I16-J16)/ABS(J16),"-")</f>
        <v>0</v>
      </c>
    </row>
    <row r="77" spans="11:16" ht="15" customHeight="1" x14ac:dyDescent="0.2">
      <c r="K77" s="8" t="s">
        <v>420</v>
      </c>
      <c r="L77" s="10">
        <f t="shared" si="64"/>
        <v>9.5743113860656949E-4</v>
      </c>
      <c r="M77" s="10">
        <f t="shared" si="65"/>
        <v>0.12578684610375515</v>
      </c>
      <c r="N77" s="10">
        <f t="shared" si="66"/>
        <v>-0.71140454011033738</v>
      </c>
      <c r="O77" s="10">
        <f t="shared" si="67"/>
        <v>0.10579220565213809</v>
      </c>
      <c r="P77" s="10">
        <f t="shared" si="68"/>
        <v>0.85865237366003067</v>
      </c>
    </row>
    <row r="78" spans="11:16" ht="15" customHeight="1" x14ac:dyDescent="0.2">
      <c r="K78" s="8" t="s">
        <v>421</v>
      </c>
      <c r="L78" s="10">
        <f t="shared" si="64"/>
        <v>0.263344509681952</v>
      </c>
      <c r="M78" s="10">
        <f t="shared" si="65"/>
        <v>0.22223194282649569</v>
      </c>
      <c r="N78" s="10">
        <f t="shared" si="66"/>
        <v>-7.5621895285016491E-3</v>
      </c>
      <c r="O78" s="10">
        <f t="shared" si="67"/>
        <v>0.63338370840557023</v>
      </c>
      <c r="P78" s="10">
        <f t="shared" si="68"/>
        <v>1.3054669179818184</v>
      </c>
    </row>
    <row r="79" spans="11:16" ht="15" customHeight="1" x14ac:dyDescent="0.2">
      <c r="K79" s="8" t="s">
        <v>422</v>
      </c>
      <c r="L79" s="10">
        <f t="shared" si="64"/>
        <v>0.28496036656039547</v>
      </c>
      <c r="M79" s="10">
        <f t="shared" si="65"/>
        <v>-0.39642435831573342</v>
      </c>
      <c r="N79" s="10">
        <f t="shared" si="66"/>
        <v>0.30104855895742771</v>
      </c>
      <c r="O79" s="10">
        <f t="shared" si="67"/>
        <v>0.52083784871659911</v>
      </c>
      <c r="P79" s="10">
        <f t="shared" si="68"/>
        <v>-0.12145693923072738</v>
      </c>
    </row>
    <row r="80" spans="11:16" ht="15" customHeight="1" x14ac:dyDescent="0.2">
      <c r="K80" s="8" t="s">
        <v>423</v>
      </c>
      <c r="L80" s="10">
        <f t="shared" si="64"/>
        <v>0.62866647049281132</v>
      </c>
      <c r="M80" s="10">
        <f t="shared" si="65"/>
        <v>1.4083502022390891E-2</v>
      </c>
      <c r="N80" s="10">
        <f t="shared" si="66"/>
        <v>0.4938425607171304</v>
      </c>
      <c r="O80" s="10">
        <f t="shared" si="67"/>
        <v>0.55721605849933364</v>
      </c>
      <c r="P80" s="10">
        <f t="shared" si="68"/>
        <v>0.91645165465763467</v>
      </c>
    </row>
    <row r="81" spans="11:16" ht="15" customHeight="1" x14ac:dyDescent="0.2">
      <c r="K81" s="8" t="s">
        <v>424</v>
      </c>
      <c r="L81" s="10">
        <f t="shared" si="64"/>
        <v>-0.34244316945494713</v>
      </c>
      <c r="M81" s="10">
        <f t="shared" si="65"/>
        <v>0.38751950785555972</v>
      </c>
      <c r="N81" s="10">
        <f t="shared" si="66"/>
        <v>52.685425311203318</v>
      </c>
      <c r="O81" s="10">
        <f t="shared" si="67"/>
        <v>-0.86247200402227919</v>
      </c>
      <c r="P81" s="10">
        <f t="shared" si="68"/>
        <v>65.90563564875491</v>
      </c>
    </row>
    <row r="82" spans="11:16" ht="15" customHeight="1" x14ac:dyDescent="0.2">
      <c r="K82" s="8" t="s">
        <v>425</v>
      </c>
      <c r="L82" s="10">
        <f t="shared" si="64"/>
        <v>-0.57060495262486877</v>
      </c>
      <c r="M82" s="10">
        <f t="shared" si="65"/>
        <v>-0.12093110423223322</v>
      </c>
      <c r="N82" s="10">
        <f t="shared" si="66"/>
        <v>3.8142595649586184</v>
      </c>
      <c r="O82" s="10">
        <f t="shared" si="67"/>
        <v>0.3804297975496298</v>
      </c>
      <c r="P82" s="10">
        <f t="shared" si="68"/>
        <v>-0.835190584170176</v>
      </c>
    </row>
    <row r="83" spans="11:16" ht="15" customHeight="1" x14ac:dyDescent="0.2">
      <c r="K83" s="1" t="s">
        <v>60</v>
      </c>
      <c r="L83" s="59">
        <f t="shared" si="64"/>
        <v>0.23212351139175999</v>
      </c>
      <c r="M83" s="59">
        <f t="shared" si="65"/>
        <v>0.21577927327312757</v>
      </c>
      <c r="N83" s="59">
        <f t="shared" si="66"/>
        <v>6.3705521519588665E-2</v>
      </c>
      <c r="O83" s="59">
        <f t="shared" si="67"/>
        <v>0.61358719396421879</v>
      </c>
      <c r="P83" s="59">
        <f t="shared" si="68"/>
        <v>1.2388866138282217</v>
      </c>
    </row>
    <row r="84" spans="11:16" ht="15" customHeight="1" x14ac:dyDescent="0.2">
      <c r="K84" s="1" t="s">
        <v>61</v>
      </c>
      <c r="L84" s="59">
        <f t="shared" si="64"/>
        <v>0.1961204483422834</v>
      </c>
      <c r="M84" s="59">
        <f t="shared" si="65"/>
        <v>2.7309954896863234E-2</v>
      </c>
      <c r="N84" s="59">
        <f t="shared" si="66"/>
        <v>1.0915536063143012E-2</v>
      </c>
      <c r="O84" s="59">
        <f t="shared" si="67"/>
        <v>0.60935845680220335</v>
      </c>
      <c r="P84" s="59">
        <f t="shared" si="68"/>
        <v>1.1730192511723518</v>
      </c>
    </row>
    <row r="85" spans="11:16" ht="15" customHeight="1" x14ac:dyDescent="0.2">
      <c r="K85" s="8" t="s">
        <v>426</v>
      </c>
      <c r="L85" s="10">
        <f t="shared" ref="L85:L96" si="69">IFERROR((B28-C28)/ABS(C28),"-")</f>
        <v>-0.22272519073001826</v>
      </c>
      <c r="M85" s="10">
        <f t="shared" ref="M85:M96" si="70">IFERROR((D28-E28)/ABS(E28),"-")</f>
        <v>0.55693280233934672</v>
      </c>
      <c r="N85" s="10">
        <f t="shared" ref="N85:N96" si="71">IFERROR((F28-G28)/ABS(G28),"-")</f>
        <v>-0.25018986550548855</v>
      </c>
      <c r="O85" s="10">
        <f t="shared" ref="O85:O96" si="72">IFERROR((H28-I28)/ABS(I28),"-")</f>
        <v>0.24441067161369889</v>
      </c>
      <c r="P85" s="10">
        <f t="shared" ref="P85:P96" si="73">IFERROR((I28-J28)/ABS(J28),"-")</f>
        <v>1.6409017448031449</v>
      </c>
    </row>
    <row r="86" spans="11:16" ht="15" customHeight="1" x14ac:dyDescent="0.2">
      <c r="K86" s="8" t="s">
        <v>427</v>
      </c>
      <c r="L86" s="10">
        <f t="shared" si="69"/>
        <v>0.4757671218046135</v>
      </c>
      <c r="M86" s="10">
        <f t="shared" si="70"/>
        <v>-0.11602797356626307</v>
      </c>
      <c r="N86" s="10">
        <f t="shared" si="71"/>
        <v>0.35203739377270049</v>
      </c>
      <c r="O86" s="10">
        <f t="shared" si="72"/>
        <v>0.90947813437956104</v>
      </c>
      <c r="P86" s="10">
        <f t="shared" si="73"/>
        <v>-5.1987154995460007E-2</v>
      </c>
    </row>
    <row r="87" spans="11:16" ht="15" customHeight="1" x14ac:dyDescent="0.2">
      <c r="K87" s="8" t="s">
        <v>428</v>
      </c>
      <c r="L87" s="10">
        <f t="shared" si="69"/>
        <v>8.8332617103566822</v>
      </c>
      <c r="M87" s="10">
        <f t="shared" si="70"/>
        <v>2.2552151851155796E-3</v>
      </c>
      <c r="N87" s="10">
        <f t="shared" si="71"/>
        <v>-0.18238295984024849</v>
      </c>
      <c r="O87" s="10">
        <f t="shared" si="72"/>
        <v>-0.63909774436090228</v>
      </c>
      <c r="P87" s="10">
        <f t="shared" si="73"/>
        <v>8.1227436823104693</v>
      </c>
    </row>
    <row r="88" spans="11:16" ht="15" customHeight="1" x14ac:dyDescent="0.2">
      <c r="K88" s="8" t="s">
        <v>429</v>
      </c>
      <c r="L88" s="10">
        <f t="shared" si="69"/>
        <v>1.1652967038968842</v>
      </c>
      <c r="M88" s="10">
        <f t="shared" si="70"/>
        <v>-0.417546270272521</v>
      </c>
      <c r="N88" s="10">
        <f t="shared" si="71"/>
        <v>2.1168259321716318</v>
      </c>
      <c r="O88" s="10">
        <f t="shared" si="72"/>
        <v>1.3152251608291636</v>
      </c>
      <c r="P88" s="10">
        <f t="shared" si="73"/>
        <v>-0.17608951707891637</v>
      </c>
    </row>
    <row r="89" spans="11:16" ht="15" customHeight="1" x14ac:dyDescent="0.2">
      <c r="K89" s="8" t="s">
        <v>430</v>
      </c>
      <c r="L89" s="10">
        <f t="shared" si="69"/>
        <v>-0.46486836375070872</v>
      </c>
      <c r="M89" s="10">
        <f t="shared" si="70"/>
        <v>0.29169748373097454</v>
      </c>
      <c r="N89" s="10">
        <f t="shared" si="71"/>
        <v>-4.8628065278687592E-2</v>
      </c>
      <c r="O89" s="10">
        <f t="shared" si="72"/>
        <v>5.2865883182349721E-2</v>
      </c>
      <c r="P89" s="10">
        <f t="shared" si="73"/>
        <v>1.5898606639458503</v>
      </c>
    </row>
    <row r="90" spans="11:16" ht="15" customHeight="1" x14ac:dyDescent="0.2">
      <c r="K90" s="8" t="s">
        <v>431</v>
      </c>
      <c r="L90" s="10">
        <f t="shared" si="69"/>
        <v>-0.12228957475359771</v>
      </c>
      <c r="M90" s="10">
        <f t="shared" si="70"/>
        <v>-0.16176067421434737</v>
      </c>
      <c r="N90" s="10">
        <f t="shared" si="71"/>
        <v>0.76040053680189945</v>
      </c>
      <c r="O90" s="10">
        <f t="shared" si="72"/>
        <v>0.29292429490351313</v>
      </c>
      <c r="P90" s="10">
        <f t="shared" si="73"/>
        <v>1.1157380481563337</v>
      </c>
    </row>
    <row r="91" spans="11:16" ht="15" customHeight="1" x14ac:dyDescent="0.2">
      <c r="K91" s="8" t="s">
        <v>432</v>
      </c>
      <c r="L91" s="10">
        <f t="shared" si="69"/>
        <v>1.1205014740210189E-2</v>
      </c>
      <c r="M91" s="10">
        <f t="shared" si="70"/>
        <v>-0.63684764819315065</v>
      </c>
      <c r="N91" s="10">
        <f t="shared" si="71"/>
        <v>-8.6188447820173972E-2</v>
      </c>
      <c r="O91" s="10">
        <f t="shared" si="72"/>
        <v>0.34403652781211019</v>
      </c>
      <c r="P91" s="10">
        <f t="shared" si="73"/>
        <v>0.78329448723145523</v>
      </c>
    </row>
    <row r="92" spans="11:16" ht="15" customHeight="1" x14ac:dyDescent="0.2">
      <c r="K92" s="8" t="s">
        <v>433</v>
      </c>
      <c r="L92" s="10">
        <f t="shared" si="69"/>
        <v>5.4306927704782793E-2</v>
      </c>
      <c r="M92" s="10" t="str">
        <f t="shared" si="70"/>
        <v>-</v>
      </c>
      <c r="N92" s="10" t="str">
        <f t="shared" si="71"/>
        <v>-</v>
      </c>
      <c r="O92" s="10">
        <f t="shared" si="72"/>
        <v>-1</v>
      </c>
      <c r="P92" s="10">
        <f t="shared" si="73"/>
        <v>0.36823901442782792</v>
      </c>
    </row>
    <row r="93" spans="11:16" ht="15" customHeight="1" x14ac:dyDescent="0.2">
      <c r="K93" s="8" t="s">
        <v>434</v>
      </c>
      <c r="L93" s="10">
        <f t="shared" si="69"/>
        <v>-0.24702070683138094</v>
      </c>
      <c r="M93" s="10">
        <f t="shared" si="70"/>
        <v>-0.47155971228139715</v>
      </c>
      <c r="N93" s="10">
        <f t="shared" si="71"/>
        <v>0.44438215701941602</v>
      </c>
      <c r="O93" s="10">
        <f t="shared" si="72"/>
        <v>-8.6139465416080918E-2</v>
      </c>
      <c r="P93" s="10">
        <f t="shared" si="73"/>
        <v>2.4212615189762849</v>
      </c>
    </row>
    <row r="94" spans="11:16" ht="15" customHeight="1" x14ac:dyDescent="0.2">
      <c r="K94" s="8" t="s">
        <v>435</v>
      </c>
      <c r="L94" s="10">
        <f t="shared" si="69"/>
        <v>0.24628692094962937</v>
      </c>
      <c r="M94" s="10">
        <f t="shared" si="70"/>
        <v>1.9878200476832175</v>
      </c>
      <c r="N94" s="10">
        <f t="shared" si="71"/>
        <v>1.751269035532995E-2</v>
      </c>
      <c r="O94" s="10">
        <f t="shared" si="72"/>
        <v>1.103263259741402</v>
      </c>
      <c r="P94" s="10">
        <f t="shared" si="73"/>
        <v>-0.52343226022803491</v>
      </c>
    </row>
    <row r="95" spans="11:16" ht="15" customHeight="1" x14ac:dyDescent="0.2">
      <c r="K95" s="8" t="s">
        <v>436</v>
      </c>
      <c r="L95" s="10">
        <f t="shared" si="69"/>
        <v>-0.72189334836100183</v>
      </c>
      <c r="M95" s="10">
        <f t="shared" si="70"/>
        <v>7.9661232909958741</v>
      </c>
      <c r="N95" s="10">
        <f t="shared" si="71"/>
        <v>0.21881339644801936</v>
      </c>
      <c r="O95" s="10">
        <f t="shared" si="72"/>
        <v>12.06743295019157</v>
      </c>
      <c r="P95" s="10">
        <f t="shared" si="73"/>
        <v>-0.92979341510652036</v>
      </c>
    </row>
    <row r="96" spans="11:16" ht="15" customHeight="1" x14ac:dyDescent="0.2">
      <c r="K96" s="1" t="s">
        <v>437</v>
      </c>
      <c r="L96" s="59">
        <f t="shared" si="69"/>
        <v>-7.6850606609301278E-2</v>
      </c>
      <c r="M96" s="59">
        <f t="shared" si="70"/>
        <v>9.2528833800532256E-2</v>
      </c>
      <c r="N96" s="59">
        <f t="shared" si="71"/>
        <v>4.6404465548343786E-2</v>
      </c>
      <c r="O96" s="59">
        <f t="shared" si="72"/>
        <v>0.27234632217403704</v>
      </c>
      <c r="P96" s="59">
        <f t="shared" si="73"/>
        <v>0.90191329377401697</v>
      </c>
    </row>
    <row r="97" spans="11:16" ht="15" customHeight="1" x14ac:dyDescent="0.2">
      <c r="K97" s="8" t="s">
        <v>438</v>
      </c>
      <c r="L97" s="10">
        <f t="shared" ref="L97:L102" si="74">IFERROR((B41-C41)/ABS(C41),"-")</f>
        <v>0.79597994869512578</v>
      </c>
      <c r="M97" s="10">
        <f t="shared" ref="M97:M102" si="75">IFERROR((D41-E41)/ABS(E41),"-")</f>
        <v>0.99903971029805672</v>
      </c>
      <c r="N97" s="10">
        <f t="shared" ref="N97:N102" si="76">IFERROR((F41-G41)/ABS(G41),"-")</f>
        <v>-0.18590526939890484</v>
      </c>
      <c r="O97" s="10">
        <f t="shared" ref="O97:P102" si="77">IFERROR((H41-I41)/ABS(I41),"-")</f>
        <v>0.5540229479244112</v>
      </c>
      <c r="P97" s="10">
        <f t="shared" si="77"/>
        <v>1.918214709300236</v>
      </c>
    </row>
    <row r="98" spans="11:16" ht="15" customHeight="1" x14ac:dyDescent="0.2">
      <c r="K98" s="8" t="s">
        <v>439</v>
      </c>
      <c r="L98" s="10">
        <f t="shared" si="74"/>
        <v>-0.10072852198082019</v>
      </c>
      <c r="M98" s="10">
        <f t="shared" si="75"/>
        <v>-0.2062132578797975</v>
      </c>
      <c r="N98" s="10">
        <f t="shared" si="76"/>
        <v>0.17224996584751295</v>
      </c>
      <c r="O98" s="10">
        <f t="shared" si="77"/>
        <v>0.18578546220231917</v>
      </c>
      <c r="P98" s="10">
        <f t="shared" si="77"/>
        <v>-0.10052684228076025</v>
      </c>
    </row>
    <row r="99" spans="11:16" ht="15" customHeight="1" x14ac:dyDescent="0.2">
      <c r="K99" s="8" t="s">
        <v>440</v>
      </c>
      <c r="L99" s="10">
        <f t="shared" si="74"/>
        <v>-0.14189165482518465</v>
      </c>
      <c r="M99" s="10">
        <f t="shared" si="75"/>
        <v>-0.89380713853333993</v>
      </c>
      <c r="N99" s="10">
        <f t="shared" si="76"/>
        <v>2.4518661992151431E-2</v>
      </c>
      <c r="O99" s="10">
        <f t="shared" si="77"/>
        <v>0.57580709735271596</v>
      </c>
      <c r="P99" s="10">
        <f t="shared" si="77"/>
        <v>4.2363304236955672</v>
      </c>
    </row>
    <row r="100" spans="11:16" ht="15" customHeight="1" x14ac:dyDescent="0.2">
      <c r="K100" s="8" t="s">
        <v>441</v>
      </c>
      <c r="L100" s="10">
        <f t="shared" si="74"/>
        <v>0.69100725169790589</v>
      </c>
      <c r="M100" s="10">
        <f t="shared" si="75"/>
        <v>1.6731736759890353E-2</v>
      </c>
      <c r="N100" s="10">
        <f t="shared" si="76"/>
        <v>-0.51936217939203233</v>
      </c>
      <c r="O100" s="10">
        <f t="shared" si="77"/>
        <v>1.0341350710625903</v>
      </c>
      <c r="P100" s="10">
        <f t="shared" si="77"/>
        <v>0.4666759568617721</v>
      </c>
    </row>
    <row r="101" spans="11:16" ht="15" customHeight="1" x14ac:dyDescent="0.2">
      <c r="K101" s="1" t="s">
        <v>442</v>
      </c>
      <c r="L101" s="59">
        <f t="shared" si="74"/>
        <v>0.76682924781798678</v>
      </c>
      <c r="M101" s="59">
        <f t="shared" si="75"/>
        <v>0.5459834539187034</v>
      </c>
      <c r="N101" s="59">
        <f t="shared" si="76"/>
        <v>-0.2314064796592013</v>
      </c>
      <c r="O101" s="59">
        <f t="shared" si="77"/>
        <v>0.65915865726803502</v>
      </c>
      <c r="P101" s="59">
        <f t="shared" si="77"/>
        <v>1.4013997709672865</v>
      </c>
    </row>
    <row r="102" spans="11:16" ht="15" customHeight="1" x14ac:dyDescent="0.2">
      <c r="K102" s="1" t="s">
        <v>67</v>
      </c>
      <c r="L102" s="59">
        <f t="shared" si="74"/>
        <v>0.2877719623462423</v>
      </c>
      <c r="M102" s="59">
        <f t="shared" si="75"/>
        <v>0.25112620412113745</v>
      </c>
      <c r="N102" s="59">
        <f t="shared" si="76"/>
        <v>-7.1035019121970772E-2</v>
      </c>
      <c r="O102" s="59">
        <f t="shared" si="77"/>
        <v>0.41812961739658638</v>
      </c>
      <c r="P102" s="59">
        <f t="shared" si="77"/>
        <v>1.0636880552578643</v>
      </c>
    </row>
    <row r="103" spans="11:16" ht="15" customHeight="1" x14ac:dyDescent="0.2">
      <c r="K103" s="8" t="s">
        <v>443</v>
      </c>
      <c r="L103" s="10">
        <f t="shared" ref="L103:L115" si="78">IFERROR((B49-C49)/ABS(C49),"-")</f>
        <v>0</v>
      </c>
      <c r="M103" s="10">
        <f t="shared" ref="M103:M115" si="79">IFERROR((D49-E49)/ABS(E49),"-")</f>
        <v>0</v>
      </c>
      <c r="N103" s="10">
        <f t="shared" ref="N103:N115" si="80">IFERROR((F49-G49)/ABS(G49),"-")</f>
        <v>0</v>
      </c>
      <c r="O103" s="10">
        <f t="shared" ref="O103:O115" si="81">IFERROR((H49-I49)/ABS(I49),"-")</f>
        <v>0</v>
      </c>
      <c r="P103" s="10">
        <f t="shared" ref="P103:P115" si="82">IFERROR((I49-J49)/ABS(J49),"-")</f>
        <v>1</v>
      </c>
    </row>
    <row r="104" spans="11:16" ht="15" customHeight="1" x14ac:dyDescent="0.2">
      <c r="K104" s="8" t="s">
        <v>444</v>
      </c>
      <c r="L104" s="10">
        <f t="shared" si="78"/>
        <v>0</v>
      </c>
      <c r="M104" s="10">
        <f t="shared" si="79"/>
        <v>0</v>
      </c>
      <c r="N104" s="10">
        <f t="shared" si="80"/>
        <v>0</v>
      </c>
      <c r="O104" s="10">
        <f t="shared" si="81"/>
        <v>0</v>
      </c>
      <c r="P104" s="10">
        <f t="shared" si="82"/>
        <v>-0.95664176812015977</v>
      </c>
    </row>
    <row r="105" spans="11:16" ht="15" customHeight="1" x14ac:dyDescent="0.2">
      <c r="K105" s="8" t="s">
        <v>445</v>
      </c>
      <c r="L105" s="10">
        <f t="shared" si="78"/>
        <v>0</v>
      </c>
      <c r="M105" s="10">
        <f t="shared" si="79"/>
        <v>0</v>
      </c>
      <c r="N105" s="10" t="str">
        <f t="shared" si="80"/>
        <v>-</v>
      </c>
      <c r="O105" s="10" t="str">
        <f t="shared" si="81"/>
        <v>-</v>
      </c>
      <c r="P105" s="10" t="str">
        <f t="shared" si="82"/>
        <v>-</v>
      </c>
    </row>
    <row r="106" spans="11:16" ht="15" customHeight="1" x14ac:dyDescent="0.2">
      <c r="K106" s="8" t="s">
        <v>446</v>
      </c>
      <c r="L106" s="10">
        <f t="shared" si="78"/>
        <v>0.5500784607167396</v>
      </c>
      <c r="M106" s="10">
        <f t="shared" si="79"/>
        <v>-1.9707981336949654E-3</v>
      </c>
      <c r="N106" s="10">
        <f t="shared" si="80"/>
        <v>3.7330002169787088E-2</v>
      </c>
      <c r="O106" s="10">
        <f t="shared" si="81"/>
        <v>0.64238644858863525</v>
      </c>
      <c r="P106" s="10">
        <f t="shared" si="82"/>
        <v>0.70291968011189887</v>
      </c>
    </row>
    <row r="107" spans="11:16" ht="15" customHeight="1" x14ac:dyDescent="0.2">
      <c r="K107" s="8" t="s">
        <v>447</v>
      </c>
      <c r="L107" s="10">
        <f t="shared" si="78"/>
        <v>-0.25134834839147663</v>
      </c>
      <c r="M107" s="10">
        <f t="shared" si="79"/>
        <v>-14.800193533111662</v>
      </c>
      <c r="N107" s="10">
        <f t="shared" si="80"/>
        <v>-0.89070828588740003</v>
      </c>
      <c r="O107" s="10">
        <f t="shared" si="81"/>
        <v>0.57479662414168964</v>
      </c>
      <c r="P107" s="10">
        <f t="shared" si="82"/>
        <v>3.8327612714763424</v>
      </c>
    </row>
    <row r="108" spans="11:16" ht="15" customHeight="1" x14ac:dyDescent="0.2">
      <c r="K108" s="8" t="s">
        <v>448</v>
      </c>
      <c r="L108" s="10">
        <f t="shared" si="78"/>
        <v>1</v>
      </c>
      <c r="M108" s="10">
        <f t="shared" si="79"/>
        <v>0.60917152897332749</v>
      </c>
      <c r="N108" s="10">
        <f t="shared" si="80"/>
        <v>0.29443888870754437</v>
      </c>
      <c r="O108" s="10">
        <f t="shared" si="81"/>
        <v>-0.70302639690634983</v>
      </c>
      <c r="P108" s="10">
        <f t="shared" si="82"/>
        <v>-19.302283243571267</v>
      </c>
    </row>
    <row r="109" spans="11:16" ht="15" customHeight="1" x14ac:dyDescent="0.2">
      <c r="K109" s="8" t="s">
        <v>449</v>
      </c>
      <c r="L109" s="10">
        <f t="shared" si="78"/>
        <v>0</v>
      </c>
      <c r="M109" s="10">
        <f t="shared" si="79"/>
        <v>0.47151272840059566</v>
      </c>
      <c r="N109" s="10">
        <f t="shared" si="80"/>
        <v>0.29892797843805374</v>
      </c>
      <c r="O109" s="10">
        <f t="shared" si="81"/>
        <v>3.0062701972700525</v>
      </c>
      <c r="P109" s="10">
        <f t="shared" si="82"/>
        <v>0.20640647047699401</v>
      </c>
    </row>
    <row r="110" spans="11:16" ht="15" customHeight="1" x14ac:dyDescent="0.2">
      <c r="K110" s="8" t="s">
        <v>450</v>
      </c>
      <c r="L110" s="10">
        <f t="shared" si="78"/>
        <v>9.4902052304922505E-2</v>
      </c>
      <c r="M110" s="10">
        <f t="shared" si="79"/>
        <v>0.31294842703278136</v>
      </c>
      <c r="N110" s="10">
        <f t="shared" si="80"/>
        <v>0.45927414452731674</v>
      </c>
      <c r="O110" s="10">
        <f t="shared" si="81"/>
        <v>1.0224047676745149</v>
      </c>
      <c r="P110" s="10">
        <f t="shared" si="82"/>
        <v>6.1965399098709799</v>
      </c>
    </row>
    <row r="111" spans="11:16" ht="15" customHeight="1" x14ac:dyDescent="0.2">
      <c r="K111" s="8" t="s">
        <v>451</v>
      </c>
      <c r="L111" s="10">
        <f t="shared" si="78"/>
        <v>0.3901528328932134</v>
      </c>
      <c r="M111" s="10">
        <f t="shared" si="79"/>
        <v>-0.74706600604339246</v>
      </c>
      <c r="N111" s="10">
        <f t="shared" si="80"/>
        <v>-1.5228880210320903E-2</v>
      </c>
      <c r="O111" s="10">
        <f t="shared" si="81"/>
        <v>1.7155892245869921</v>
      </c>
      <c r="P111" s="10">
        <f t="shared" si="82"/>
        <v>2.5736624428767159</v>
      </c>
    </row>
    <row r="112" spans="11:16" ht="15" customHeight="1" x14ac:dyDescent="0.2">
      <c r="K112" s="64" t="s">
        <v>452</v>
      </c>
      <c r="L112" s="37">
        <f t="shared" si="78"/>
        <v>0.11951736650852449</v>
      </c>
      <c r="M112" s="37">
        <f t="shared" si="79"/>
        <v>-0.11274040072481216</v>
      </c>
      <c r="N112" s="37">
        <f t="shared" si="80"/>
        <v>7.4472658899588609E-2</v>
      </c>
      <c r="O112" s="37">
        <f t="shared" si="81"/>
        <v>0.78288473736243269</v>
      </c>
      <c r="P112" s="37">
        <f t="shared" si="82"/>
        <v>1.2876019213184724</v>
      </c>
    </row>
    <row r="113" spans="11:16" ht="15" customHeight="1" x14ac:dyDescent="0.2">
      <c r="K113" s="8" t="s">
        <v>453</v>
      </c>
      <c r="L113" s="10">
        <f t="shared" si="78"/>
        <v>9.5401376081398523E-2</v>
      </c>
      <c r="M113" s="10">
        <f t="shared" si="79"/>
        <v>-7.4068610898695972E-2</v>
      </c>
      <c r="N113" s="10">
        <f t="shared" si="80"/>
        <v>7.7170253013585403E-3</v>
      </c>
      <c r="O113" s="10">
        <f t="shared" si="81"/>
        <v>0.87741503019122902</v>
      </c>
      <c r="P113" s="10">
        <f t="shared" si="82"/>
        <v>1.2956280668408184</v>
      </c>
    </row>
    <row r="114" spans="11:16" ht="15" customHeight="1" x14ac:dyDescent="0.2">
      <c r="K114" s="1" t="s">
        <v>70</v>
      </c>
      <c r="L114" s="59">
        <f t="shared" si="78"/>
        <v>0.11741310763884719</v>
      </c>
      <c r="M114" s="59">
        <f t="shared" si="79"/>
        <v>-0.10949516864030284</v>
      </c>
      <c r="N114" s="59">
        <f t="shared" si="80"/>
        <v>6.8532628128219072E-2</v>
      </c>
      <c r="O114" s="59">
        <f t="shared" si="81"/>
        <v>0.79121215304914638</v>
      </c>
      <c r="P114" s="59">
        <f t="shared" si="82"/>
        <v>1.2883067100940579</v>
      </c>
    </row>
    <row r="115" spans="11:16" ht="15" customHeight="1" x14ac:dyDescent="0.2">
      <c r="K115" s="1" t="s">
        <v>454</v>
      </c>
      <c r="L115" s="59">
        <f t="shared" si="78"/>
        <v>0.19612045558305388</v>
      </c>
      <c r="M115" s="59">
        <f t="shared" si="79"/>
        <v>2.7309967307951748E-2</v>
      </c>
      <c r="N115" s="59">
        <f t="shared" si="80"/>
        <v>1.0915554177870173E-2</v>
      </c>
      <c r="O115" s="59">
        <f t="shared" si="81"/>
        <v>0.60935825250142384</v>
      </c>
      <c r="P115" s="59">
        <f t="shared" si="82"/>
        <v>1.1730190042909927</v>
      </c>
    </row>
  </sheetData>
  <mergeCells count="3">
    <mergeCell ref="A1:J1"/>
    <mergeCell ref="L1:T1"/>
    <mergeCell ref="L64:T6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2" customWidth="1"/>
    <col min="2" max="10" width="14" customWidth="1"/>
    <col min="11" max="11" width="42" customWidth="1"/>
    <col min="12" max="20" width="12" customWidth="1"/>
  </cols>
  <sheetData>
    <row r="1" spans="1:20" ht="21.75" customHeight="1" x14ac:dyDescent="0.2">
      <c r="A1" s="256" t="s">
        <v>455</v>
      </c>
      <c r="B1" s="256"/>
      <c r="C1" s="256"/>
      <c r="D1" s="256"/>
      <c r="E1" s="256"/>
      <c r="F1" s="256"/>
      <c r="G1" s="256"/>
      <c r="H1" s="256"/>
      <c r="I1" s="256"/>
      <c r="J1" s="256"/>
      <c r="L1" s="254" t="s">
        <v>321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51" t="s">
        <v>2</v>
      </c>
      <c r="B2" s="52" t="s">
        <v>456</v>
      </c>
      <c r="C2" s="52" t="s">
        <v>457</v>
      </c>
      <c r="D2" s="52" t="s">
        <v>458</v>
      </c>
      <c r="E2" s="52" t="s">
        <v>459</v>
      </c>
      <c r="F2" s="52" t="s">
        <v>460</v>
      </c>
      <c r="G2" s="52" t="s">
        <v>461</v>
      </c>
      <c r="H2" s="52" t="s">
        <v>462</v>
      </c>
      <c r="I2" s="52" t="s">
        <v>463</v>
      </c>
      <c r="J2" s="52" t="s">
        <v>464</v>
      </c>
      <c r="L2" s="7" t="s">
        <v>456</v>
      </c>
      <c r="M2" s="7" t="s">
        <v>457</v>
      </c>
      <c r="N2" s="7" t="s">
        <v>458</v>
      </c>
      <c r="O2" s="7" t="s">
        <v>459</v>
      </c>
      <c r="P2" s="7" t="s">
        <v>460</v>
      </c>
      <c r="Q2" s="7" t="s">
        <v>461</v>
      </c>
      <c r="R2" s="7" t="s">
        <v>462</v>
      </c>
      <c r="S2" s="7" t="s">
        <v>463</v>
      </c>
      <c r="T2" s="7" t="s">
        <v>464</v>
      </c>
    </row>
    <row r="3" spans="1:20" ht="15.75" customHeight="1" x14ac:dyDescent="0.2">
      <c r="A3" s="53" t="s">
        <v>465</v>
      </c>
      <c r="B3" s="53"/>
      <c r="C3" s="53"/>
      <c r="D3" s="53"/>
      <c r="E3" s="53"/>
      <c r="F3" s="53"/>
      <c r="G3" s="53"/>
      <c r="H3" s="53"/>
      <c r="I3" s="53"/>
      <c r="J3" s="53"/>
    </row>
    <row r="4" spans="1:20" ht="15" customHeight="1" x14ac:dyDescent="0.2">
      <c r="A4" s="54" t="s">
        <v>466</v>
      </c>
      <c r="B4" s="55">
        <v>42385314</v>
      </c>
      <c r="C4" s="55">
        <v>41412051</v>
      </c>
      <c r="D4" s="55">
        <v>31638820</v>
      </c>
      <c r="E4" s="55">
        <v>50781705</v>
      </c>
      <c r="F4" s="55">
        <v>35172257</v>
      </c>
      <c r="G4" s="55">
        <v>87101671</v>
      </c>
      <c r="H4" s="55">
        <v>45638094</v>
      </c>
      <c r="I4" s="55">
        <v>13887497</v>
      </c>
      <c r="J4" s="55">
        <v>7230547</v>
      </c>
      <c r="L4" s="10">
        <f t="shared" ref="L4:T4" si="0">IFERROR(B4/B4,"")</f>
        <v>1</v>
      </c>
      <c r="M4" s="10">
        <f t="shared" si="0"/>
        <v>1</v>
      </c>
      <c r="N4" s="10">
        <f t="shared" si="0"/>
        <v>1</v>
      </c>
      <c r="O4" s="10">
        <f t="shared" si="0"/>
        <v>1</v>
      </c>
      <c r="P4" s="10">
        <f t="shared" si="0"/>
        <v>1</v>
      </c>
      <c r="Q4" s="10">
        <f t="shared" si="0"/>
        <v>1</v>
      </c>
      <c r="R4" s="10">
        <f t="shared" si="0"/>
        <v>1</v>
      </c>
      <c r="S4" s="10">
        <f t="shared" si="0"/>
        <v>1</v>
      </c>
      <c r="T4" s="10">
        <f t="shared" si="0"/>
        <v>1</v>
      </c>
    </row>
    <row r="5" spans="1:20" ht="15" customHeight="1" x14ac:dyDescent="0.2">
      <c r="A5" s="54" t="s">
        <v>467</v>
      </c>
      <c r="B5" s="55">
        <v>-31840584</v>
      </c>
      <c r="C5" s="55">
        <v>-32657898</v>
      </c>
      <c r="D5" s="55">
        <v>-24950644</v>
      </c>
      <c r="E5" s="55">
        <v>-40364108</v>
      </c>
      <c r="F5" s="55">
        <v>-27956855</v>
      </c>
      <c r="G5" s="55">
        <v>-76510665</v>
      </c>
      <c r="H5" s="55">
        <v>-40190386</v>
      </c>
      <c r="I5" s="55">
        <v>-11808767</v>
      </c>
      <c r="J5" s="55">
        <v>-6032956</v>
      </c>
      <c r="L5" s="10">
        <f t="shared" ref="L5:T5" si="1">IFERROR(B5/B4,"")</f>
        <v>-0.75121736741174072</v>
      </c>
      <c r="M5" s="10">
        <f t="shared" si="1"/>
        <v>-0.78860856227574916</v>
      </c>
      <c r="N5" s="10">
        <f t="shared" si="1"/>
        <v>-0.78860855114065564</v>
      </c>
      <c r="O5" s="10">
        <f t="shared" si="1"/>
        <v>-0.79485531255793795</v>
      </c>
      <c r="P5" s="10">
        <f t="shared" si="1"/>
        <v>-0.79485530314417985</v>
      </c>
      <c r="Q5" s="10">
        <f t="shared" si="1"/>
        <v>-0.87840639704834134</v>
      </c>
      <c r="R5" s="10">
        <f t="shared" si="1"/>
        <v>-0.88063243833101357</v>
      </c>
      <c r="S5" s="10">
        <f t="shared" si="1"/>
        <v>-0.85031643931228207</v>
      </c>
      <c r="T5" s="10">
        <f t="shared" si="1"/>
        <v>-0.83437062230561532</v>
      </c>
    </row>
    <row r="6" spans="1:20" ht="15.75" customHeight="1" x14ac:dyDescent="0.2">
      <c r="A6" s="57" t="s">
        <v>468</v>
      </c>
      <c r="B6" s="58">
        <f t="shared" ref="B6:J6" si="2">B4+B5</f>
        <v>10544730</v>
      </c>
      <c r="C6" s="58">
        <f t="shared" si="2"/>
        <v>8754153</v>
      </c>
      <c r="D6" s="58">
        <f t="shared" si="2"/>
        <v>6688176</v>
      </c>
      <c r="E6" s="58">
        <f t="shared" si="2"/>
        <v>10417597</v>
      </c>
      <c r="F6" s="58">
        <f t="shared" si="2"/>
        <v>7215402</v>
      </c>
      <c r="G6" s="58">
        <f t="shared" si="2"/>
        <v>10591006</v>
      </c>
      <c r="H6" s="58">
        <f t="shared" si="2"/>
        <v>5447708</v>
      </c>
      <c r="I6" s="58">
        <f t="shared" si="2"/>
        <v>2078730</v>
      </c>
      <c r="J6" s="58">
        <f t="shared" si="2"/>
        <v>1197591</v>
      </c>
      <c r="L6" s="59">
        <f t="shared" ref="L6:T6" si="3">IFERROR(B6/B4,"")</f>
        <v>0.24878263258825922</v>
      </c>
      <c r="M6" s="59">
        <f t="shared" si="3"/>
        <v>0.21139143772425084</v>
      </c>
      <c r="N6" s="59">
        <f t="shared" si="3"/>
        <v>0.2113914488593443</v>
      </c>
      <c r="O6" s="59">
        <f t="shared" si="3"/>
        <v>0.20514468744206205</v>
      </c>
      <c r="P6" s="59">
        <f t="shared" si="3"/>
        <v>0.20514469685582021</v>
      </c>
      <c r="Q6" s="59">
        <f t="shared" si="3"/>
        <v>0.12159360295165864</v>
      </c>
      <c r="R6" s="59">
        <f t="shared" si="3"/>
        <v>0.11936756166898643</v>
      </c>
      <c r="S6" s="59">
        <f t="shared" si="3"/>
        <v>0.14968356068771788</v>
      </c>
      <c r="T6" s="59">
        <f t="shared" si="3"/>
        <v>0.16562937769438468</v>
      </c>
    </row>
    <row r="7" spans="1:20" ht="15" customHeight="1" x14ac:dyDescent="0.2">
      <c r="A7" s="54" t="s">
        <v>469</v>
      </c>
      <c r="B7" s="55">
        <v>-1751894</v>
      </c>
      <c r="C7" s="55">
        <v>-1946294</v>
      </c>
      <c r="D7" s="55">
        <v>-1486969</v>
      </c>
      <c r="E7" s="55">
        <v>-1134924</v>
      </c>
      <c r="F7" s="55">
        <v>-786067</v>
      </c>
      <c r="G7" s="55">
        <v>-568838</v>
      </c>
      <c r="H7" s="55">
        <v>-298820</v>
      </c>
      <c r="I7" s="55">
        <v>-164553</v>
      </c>
      <c r="J7" s="55">
        <v>-117413</v>
      </c>
      <c r="L7" s="10">
        <f t="shared" ref="L7:T7" si="4">IFERROR(B7/B4,"")</f>
        <v>-4.1332570993811678E-2</v>
      </c>
      <c r="M7" s="10">
        <f t="shared" si="4"/>
        <v>-4.6998251789074637E-2</v>
      </c>
      <c r="N7" s="10">
        <f t="shared" si="4"/>
        <v>-4.699824456158605E-2</v>
      </c>
      <c r="O7" s="10">
        <f t="shared" si="4"/>
        <v>-2.2349072367696201E-2</v>
      </c>
      <c r="P7" s="10">
        <f t="shared" si="4"/>
        <v>-2.2349063354108894E-2</v>
      </c>
      <c r="Q7" s="10">
        <f t="shared" si="4"/>
        <v>-6.5307357880654204E-3</v>
      </c>
      <c r="R7" s="10">
        <f t="shared" si="4"/>
        <v>-6.5476003445717953E-3</v>
      </c>
      <c r="S7" s="10">
        <f t="shared" si="4"/>
        <v>-1.1849003459730721E-2</v>
      </c>
      <c r="T7" s="10">
        <f t="shared" si="4"/>
        <v>-1.6238467158847043E-2</v>
      </c>
    </row>
    <row r="8" spans="1:20" ht="15" customHeight="1" x14ac:dyDescent="0.2">
      <c r="A8" s="54" t="s">
        <v>470</v>
      </c>
      <c r="B8" s="55">
        <v>-35599</v>
      </c>
      <c r="C8" s="55">
        <v>-51993</v>
      </c>
      <c r="D8" s="55">
        <v>-39723</v>
      </c>
      <c r="E8" s="55">
        <v>-33849</v>
      </c>
      <c r="F8" s="55">
        <v>-23444</v>
      </c>
      <c r="G8" s="55">
        <v>-43354</v>
      </c>
      <c r="H8" s="55">
        <v>-20151</v>
      </c>
      <c r="I8" s="55">
        <v>-8544</v>
      </c>
      <c r="J8" s="55">
        <v>-9623</v>
      </c>
      <c r="L8" s="10">
        <f t="shared" ref="L8:T8" si="5">IFERROR(B8/B4,"")</f>
        <v>-8.3988996754866556E-4</v>
      </c>
      <c r="M8" s="10">
        <f t="shared" si="5"/>
        <v>-1.2555041043487559E-3</v>
      </c>
      <c r="N8" s="10">
        <f t="shared" si="5"/>
        <v>-1.2555145861950603E-3</v>
      </c>
      <c r="O8" s="10">
        <f t="shared" si="5"/>
        <v>-6.6655895070872467E-4</v>
      </c>
      <c r="P8" s="10">
        <f t="shared" si="5"/>
        <v>-6.6654806940595254E-4</v>
      </c>
      <c r="Q8" s="10">
        <f t="shared" si="5"/>
        <v>-4.9774016390569586E-4</v>
      </c>
      <c r="R8" s="10">
        <f t="shared" si="5"/>
        <v>-4.4153903535059985E-4</v>
      </c>
      <c r="S8" s="10">
        <f t="shared" si="5"/>
        <v>-6.1522965585519113E-4</v>
      </c>
      <c r="T8" s="10">
        <f t="shared" si="5"/>
        <v>-1.3308813288953104E-3</v>
      </c>
    </row>
    <row r="9" spans="1:20" ht="15" customHeight="1" x14ac:dyDescent="0.2">
      <c r="A9" s="54" t="s">
        <v>471</v>
      </c>
      <c r="B9" s="55">
        <v>1008670</v>
      </c>
      <c r="C9" s="55">
        <v>491901</v>
      </c>
      <c r="D9" s="55">
        <v>375813</v>
      </c>
      <c r="E9" s="55">
        <v>686151</v>
      </c>
      <c r="F9" s="55">
        <v>475240</v>
      </c>
      <c r="G9" s="55">
        <v>744899</v>
      </c>
      <c r="H9" s="55">
        <v>387127</v>
      </c>
      <c r="I9" s="55">
        <v>226349</v>
      </c>
      <c r="J9" s="55">
        <v>14083</v>
      </c>
      <c r="L9" s="10">
        <f t="shared" ref="L9:T9" si="6">IFERROR(B9/B4,"")</f>
        <v>2.3797629528001137E-2</v>
      </c>
      <c r="M9" s="10">
        <f t="shared" si="6"/>
        <v>1.1878209074938114E-2</v>
      </c>
      <c r="N9" s="10">
        <f t="shared" si="6"/>
        <v>1.1878224282700809E-2</v>
      </c>
      <c r="O9" s="10">
        <f t="shared" si="6"/>
        <v>1.3511775549875689E-2</v>
      </c>
      <c r="P9" s="10">
        <f t="shared" si="6"/>
        <v>1.3511785723617338E-2</v>
      </c>
      <c r="Q9" s="10">
        <f t="shared" si="6"/>
        <v>8.5520632549058676E-3</v>
      </c>
      <c r="R9" s="10">
        <f t="shared" si="6"/>
        <v>8.4825409229403841E-3</v>
      </c>
      <c r="S9" s="10">
        <f t="shared" si="6"/>
        <v>1.6298761396672128E-2</v>
      </c>
      <c r="T9" s="10">
        <f t="shared" si="6"/>
        <v>1.9477087971352652E-3</v>
      </c>
    </row>
    <row r="10" spans="1:20" ht="15" customHeight="1" x14ac:dyDescent="0.2">
      <c r="A10" s="54" t="s">
        <v>472</v>
      </c>
      <c r="B10" s="55">
        <v>-171494</v>
      </c>
      <c r="C10" s="55">
        <v>-163958</v>
      </c>
      <c r="D10" s="55">
        <v>-125264</v>
      </c>
      <c r="E10" s="55">
        <v>-147225</v>
      </c>
      <c r="F10" s="55">
        <v>-101970</v>
      </c>
      <c r="G10" s="55">
        <v>-286343</v>
      </c>
      <c r="H10" s="55">
        <v>-144638</v>
      </c>
      <c r="I10" s="55">
        <v>-72849</v>
      </c>
      <c r="J10" s="55">
        <v>-42165</v>
      </c>
      <c r="L10" s="10">
        <f t="shared" ref="L10:T10" si="7">IFERROR(B10/B4,"")</f>
        <v>-4.0460712406188617E-3</v>
      </c>
      <c r="M10" s="10">
        <f t="shared" si="7"/>
        <v>-3.9591856969363824E-3</v>
      </c>
      <c r="N10" s="10">
        <f t="shared" si="7"/>
        <v>-3.9591868470442325E-3</v>
      </c>
      <c r="O10" s="10">
        <f t="shared" si="7"/>
        <v>-2.8991740234007505E-3</v>
      </c>
      <c r="P10" s="10">
        <f t="shared" si="7"/>
        <v>-2.8991599828239625E-3</v>
      </c>
      <c r="Q10" s="10">
        <f t="shared" si="7"/>
        <v>-3.2874570224950103E-3</v>
      </c>
      <c r="R10" s="10">
        <f t="shared" si="7"/>
        <v>-3.169238399833262E-3</v>
      </c>
      <c r="S10" s="10">
        <f t="shared" si="7"/>
        <v>-5.2456536984310416E-3</v>
      </c>
      <c r="T10" s="10">
        <f t="shared" si="7"/>
        <v>-5.8315090130801996E-3</v>
      </c>
    </row>
    <row r="11" spans="1:20" ht="15.75" customHeight="1" x14ac:dyDescent="0.2">
      <c r="A11" s="57" t="s">
        <v>473</v>
      </c>
      <c r="B11" s="58">
        <f t="shared" ref="B11:J11" si="8">B6+B7+B8+B9+B10</f>
        <v>9594413</v>
      </c>
      <c r="C11" s="58">
        <f t="shared" si="8"/>
        <v>7083809</v>
      </c>
      <c r="D11" s="58">
        <f t="shared" si="8"/>
        <v>5412033</v>
      </c>
      <c r="E11" s="58">
        <f t="shared" si="8"/>
        <v>9787750</v>
      </c>
      <c r="F11" s="58">
        <f t="shared" si="8"/>
        <v>6779161</v>
      </c>
      <c r="G11" s="58">
        <f t="shared" si="8"/>
        <v>10437370</v>
      </c>
      <c r="H11" s="58">
        <f t="shared" si="8"/>
        <v>5371226</v>
      </c>
      <c r="I11" s="58">
        <f t="shared" si="8"/>
        <v>2059133</v>
      </c>
      <c r="J11" s="58">
        <f t="shared" si="8"/>
        <v>1042473</v>
      </c>
      <c r="L11" s="59">
        <f t="shared" ref="L11:T11" si="9">IFERROR(B11/B4,"")</f>
        <v>0.22636172991428116</v>
      </c>
      <c r="M11" s="59">
        <f t="shared" si="9"/>
        <v>0.17105670520882918</v>
      </c>
      <c r="N11" s="59">
        <f t="shared" si="9"/>
        <v>0.17105672714721978</v>
      </c>
      <c r="O11" s="59">
        <f t="shared" si="9"/>
        <v>0.19274165765013207</v>
      </c>
      <c r="P11" s="59">
        <f t="shared" si="9"/>
        <v>0.19274171117309874</v>
      </c>
      <c r="Q11" s="59">
        <f t="shared" si="9"/>
        <v>0.11982973323209839</v>
      </c>
      <c r="R11" s="59">
        <f t="shared" si="9"/>
        <v>0.11769172481217116</v>
      </c>
      <c r="S11" s="59">
        <f t="shared" si="9"/>
        <v>0.14827243527037307</v>
      </c>
      <c r="T11" s="59">
        <f t="shared" si="9"/>
        <v>0.14417622899069737</v>
      </c>
    </row>
    <row r="12" spans="1:20" ht="15" customHeight="1" x14ac:dyDescent="0.2">
      <c r="A12" s="54" t="s">
        <v>474</v>
      </c>
      <c r="B12" s="55">
        <v>3287154</v>
      </c>
      <c r="C12" s="55">
        <v>2638223</v>
      </c>
      <c r="D12" s="55">
        <v>2015603</v>
      </c>
      <c r="E12" s="55">
        <v>2233482</v>
      </c>
      <c r="F12" s="55">
        <v>1546947</v>
      </c>
      <c r="G12" s="55">
        <v>2395250</v>
      </c>
      <c r="H12" s="55">
        <v>1272232</v>
      </c>
      <c r="I12" s="55">
        <v>567944</v>
      </c>
      <c r="J12" s="55">
        <v>465598</v>
      </c>
      <c r="L12" s="10">
        <f t="shared" ref="L12:T12" si="10">IFERROR(B12/B4,"")</f>
        <v>7.7554079226592493E-2</v>
      </c>
      <c r="M12" s="10">
        <f t="shared" si="10"/>
        <v>6.3706649062129278E-2</v>
      </c>
      <c r="N12" s="10">
        <f t="shared" si="10"/>
        <v>6.3706642662400184E-2</v>
      </c>
      <c r="O12" s="10">
        <f t="shared" si="10"/>
        <v>4.3982020690325384E-2</v>
      </c>
      <c r="P12" s="10">
        <f t="shared" si="10"/>
        <v>4.3982022535545555E-2</v>
      </c>
      <c r="Q12" s="10">
        <f t="shared" si="10"/>
        <v>2.7499472426883751E-2</v>
      </c>
      <c r="R12" s="10">
        <f t="shared" si="10"/>
        <v>2.7876536649405211E-2</v>
      </c>
      <c r="S12" s="10">
        <f t="shared" si="10"/>
        <v>4.0896066440194369E-2</v>
      </c>
      <c r="T12" s="10">
        <f t="shared" si="10"/>
        <v>6.4393191829055257E-2</v>
      </c>
    </row>
    <row r="13" spans="1:20" ht="15.75" customHeight="1" x14ac:dyDescent="0.2">
      <c r="A13" s="57" t="s">
        <v>331</v>
      </c>
      <c r="B13" s="58">
        <f t="shared" ref="B13:J13" si="11">B11+B12</f>
        <v>12881567</v>
      </c>
      <c r="C13" s="58">
        <f t="shared" si="11"/>
        <v>9722032</v>
      </c>
      <c r="D13" s="58">
        <f t="shared" si="11"/>
        <v>7427636</v>
      </c>
      <c r="E13" s="58">
        <f t="shared" si="11"/>
        <v>12021232</v>
      </c>
      <c r="F13" s="58">
        <f t="shared" si="11"/>
        <v>8326108</v>
      </c>
      <c r="G13" s="58">
        <f t="shared" si="11"/>
        <v>12832620</v>
      </c>
      <c r="H13" s="58">
        <f t="shared" si="11"/>
        <v>6643458</v>
      </c>
      <c r="I13" s="58">
        <f t="shared" si="11"/>
        <v>2627077</v>
      </c>
      <c r="J13" s="58">
        <f t="shared" si="11"/>
        <v>1508071</v>
      </c>
      <c r="L13" s="59">
        <f t="shared" ref="L13:T13" si="12">IFERROR(B13/B4,"")</f>
        <v>0.30391580914087363</v>
      </c>
      <c r="M13" s="59">
        <f t="shared" si="12"/>
        <v>0.23476335427095846</v>
      </c>
      <c r="N13" s="59">
        <f t="shared" si="12"/>
        <v>0.23476336980961995</v>
      </c>
      <c r="O13" s="59">
        <f t="shared" si="12"/>
        <v>0.23672367834045746</v>
      </c>
      <c r="P13" s="59">
        <f t="shared" si="12"/>
        <v>0.23672373370864427</v>
      </c>
      <c r="Q13" s="59">
        <f t="shared" si="12"/>
        <v>0.14732920565898214</v>
      </c>
      <c r="R13" s="59">
        <f t="shared" si="12"/>
        <v>0.14556826146157636</v>
      </c>
      <c r="S13" s="59">
        <f t="shared" si="12"/>
        <v>0.18916850171056743</v>
      </c>
      <c r="T13" s="59">
        <f t="shared" si="12"/>
        <v>0.20856942081975263</v>
      </c>
    </row>
    <row r="14" spans="1:20" ht="15" customHeight="1" x14ac:dyDescent="0.2">
      <c r="A14" s="54"/>
      <c r="B14" s="65"/>
      <c r="C14" s="65"/>
      <c r="D14" s="65"/>
      <c r="E14" s="65"/>
      <c r="F14" s="65"/>
      <c r="G14" s="65"/>
      <c r="H14" s="65"/>
      <c r="I14" s="65"/>
      <c r="J14" s="65"/>
    </row>
    <row r="15" spans="1:20" ht="15" customHeight="1" x14ac:dyDescent="0.2">
      <c r="A15" s="54" t="s">
        <v>475</v>
      </c>
      <c r="B15" s="55">
        <v>636054</v>
      </c>
      <c r="C15" s="55">
        <v>174284</v>
      </c>
      <c r="D15" s="55">
        <v>133153</v>
      </c>
      <c r="E15" s="55">
        <v>-614335</v>
      </c>
      <c r="F15" s="55">
        <v>-425498</v>
      </c>
      <c r="G15" s="55">
        <v>-177763</v>
      </c>
      <c r="H15" s="55">
        <v>-84702</v>
      </c>
      <c r="I15" s="55">
        <v>-17691</v>
      </c>
      <c r="J15" s="55">
        <v>-10605</v>
      </c>
      <c r="L15" s="10">
        <f t="shared" ref="L15:T15" si="13">IFERROR(B15/B4,"")</f>
        <v>1.5006471345240005E-2</v>
      </c>
      <c r="M15" s="10">
        <f t="shared" si="13"/>
        <v>4.2085334049260202E-3</v>
      </c>
      <c r="N15" s="10">
        <f t="shared" si="13"/>
        <v>4.2085324294648153E-3</v>
      </c>
      <c r="O15" s="10">
        <f t="shared" si="13"/>
        <v>-1.2097565451967397E-2</v>
      </c>
      <c r="P15" s="10">
        <f t="shared" si="13"/>
        <v>-1.2097546085825542E-2</v>
      </c>
      <c r="Q15" s="10">
        <f t="shared" si="13"/>
        <v>-2.0408678497109431E-3</v>
      </c>
      <c r="R15" s="10">
        <f t="shared" si="13"/>
        <v>-1.8559495495144912E-3</v>
      </c>
      <c r="S15" s="10">
        <f t="shared" si="13"/>
        <v>-1.2738796631243197E-3</v>
      </c>
      <c r="T15" s="10">
        <f t="shared" si="13"/>
        <v>-1.4666940136064395E-3</v>
      </c>
    </row>
    <row r="16" spans="1:20" ht="15" customHeight="1" x14ac:dyDescent="0.2">
      <c r="A16" s="54" t="s">
        <v>476</v>
      </c>
      <c r="B16" s="55">
        <v>834244</v>
      </c>
      <c r="C16" s="55">
        <v>461378</v>
      </c>
      <c r="D16" s="55">
        <v>352493</v>
      </c>
      <c r="E16" s="55">
        <v>111315</v>
      </c>
      <c r="F16" s="55">
        <v>77098</v>
      </c>
      <c r="G16" s="55">
        <v>49251</v>
      </c>
      <c r="H16" s="55">
        <v>30274</v>
      </c>
      <c r="I16" s="55">
        <v>1984</v>
      </c>
      <c r="J16" s="55">
        <v>156</v>
      </c>
      <c r="L16" s="10">
        <f t="shared" ref="L16:T16" si="14">IFERROR(B16/B4,"")</f>
        <v>1.9682383384018343E-2</v>
      </c>
      <c r="M16" s="10">
        <f t="shared" si="14"/>
        <v>1.1141153090920322E-2</v>
      </c>
      <c r="N16" s="10">
        <f t="shared" si="14"/>
        <v>1.114115507468357E-2</v>
      </c>
      <c r="O16" s="10">
        <f t="shared" si="14"/>
        <v>2.1920295901841028E-3</v>
      </c>
      <c r="P16" s="10">
        <f t="shared" si="14"/>
        <v>2.1920117324287719E-3</v>
      </c>
      <c r="Q16" s="10">
        <f t="shared" si="14"/>
        <v>5.6544265379248585E-4</v>
      </c>
      <c r="R16" s="10">
        <f t="shared" si="14"/>
        <v>6.6334935021607167E-4</v>
      </c>
      <c r="S16" s="10">
        <f t="shared" si="14"/>
        <v>1.4286231708996949E-4</v>
      </c>
      <c r="T16" s="10">
        <f t="shared" si="14"/>
        <v>2.1575131176106042E-5</v>
      </c>
    </row>
    <row r="17" spans="1:20" ht="15" customHeight="1" x14ac:dyDescent="0.2">
      <c r="A17" s="54" t="s">
        <v>477</v>
      </c>
      <c r="B17" s="55">
        <v>-3906</v>
      </c>
      <c r="C17" s="55">
        <v>-775691</v>
      </c>
      <c r="D17" s="55">
        <v>-592628</v>
      </c>
      <c r="E17" s="55">
        <v>-171018</v>
      </c>
      <c r="F17" s="55">
        <v>-118450</v>
      </c>
      <c r="G17" s="55">
        <v>-2405874</v>
      </c>
      <c r="H17" s="55">
        <v>0</v>
      </c>
      <c r="I17" s="55">
        <v>0</v>
      </c>
      <c r="J17" s="55">
        <v>0</v>
      </c>
      <c r="L17" s="10">
        <f t="shared" ref="L17:T17" si="15">IFERROR(B17/B4,"")</f>
        <v>-9.215456089342643E-5</v>
      </c>
      <c r="M17" s="10">
        <f t="shared" si="15"/>
        <v>-1.8731045221595039E-2</v>
      </c>
      <c r="N17" s="10">
        <f t="shared" si="15"/>
        <v>-1.8731039906039481E-2</v>
      </c>
      <c r="O17" s="10">
        <f t="shared" si="15"/>
        <v>-3.3677089022513128E-3</v>
      </c>
      <c r="P17" s="10">
        <f t="shared" si="15"/>
        <v>-3.3677110911591486E-3</v>
      </c>
      <c r="Q17" s="10">
        <f t="shared" si="15"/>
        <v>-2.7621444828538365E-2</v>
      </c>
      <c r="R17" s="10">
        <f t="shared" si="15"/>
        <v>0</v>
      </c>
      <c r="S17" s="10">
        <f t="shared" si="15"/>
        <v>0</v>
      </c>
      <c r="T17" s="10">
        <f t="shared" si="15"/>
        <v>0</v>
      </c>
    </row>
    <row r="18" spans="1:20" ht="15" customHeight="1" x14ac:dyDescent="0.2">
      <c r="A18" s="62" t="s">
        <v>478</v>
      </c>
      <c r="B18" s="63">
        <f t="shared" ref="B18:J18" si="16">B11+B15+B16+B17</f>
        <v>11060805</v>
      </c>
      <c r="C18" s="63">
        <f t="shared" si="16"/>
        <v>6943780</v>
      </c>
      <c r="D18" s="63">
        <f t="shared" si="16"/>
        <v>5305051</v>
      </c>
      <c r="E18" s="63">
        <f t="shared" si="16"/>
        <v>9113712</v>
      </c>
      <c r="F18" s="63">
        <f t="shared" si="16"/>
        <v>6312311</v>
      </c>
      <c r="G18" s="63">
        <f t="shared" si="16"/>
        <v>7902984</v>
      </c>
      <c r="H18" s="63">
        <f t="shared" si="16"/>
        <v>5316798</v>
      </c>
      <c r="I18" s="63">
        <f t="shared" si="16"/>
        <v>2043426</v>
      </c>
      <c r="J18" s="63">
        <f t="shared" si="16"/>
        <v>1032024</v>
      </c>
      <c r="L18" s="37">
        <f t="shared" ref="L18:T18" si="17">IFERROR(B18/B4,"")</f>
        <v>0.26095843008264608</v>
      </c>
      <c r="M18" s="37">
        <f t="shared" si="17"/>
        <v>0.1676753464830805</v>
      </c>
      <c r="N18" s="37">
        <f t="shared" si="17"/>
        <v>0.16767537474532868</v>
      </c>
      <c r="O18" s="37">
        <f t="shared" si="17"/>
        <v>0.17946841288609747</v>
      </c>
      <c r="P18" s="37">
        <f t="shared" si="17"/>
        <v>0.1794684657285428</v>
      </c>
      <c r="Q18" s="37">
        <f t="shared" si="17"/>
        <v>9.0732863207641568E-2</v>
      </c>
      <c r="R18" s="37">
        <f t="shared" si="17"/>
        <v>0.11649912461287275</v>
      </c>
      <c r="S18" s="37">
        <f t="shared" si="17"/>
        <v>0.14714141792433871</v>
      </c>
      <c r="T18" s="37">
        <f t="shared" si="17"/>
        <v>0.14273111010826706</v>
      </c>
    </row>
    <row r="19" spans="1:20" ht="15" customHeight="1" x14ac:dyDescent="0.2">
      <c r="A19" s="54" t="s">
        <v>479</v>
      </c>
      <c r="B19" s="55">
        <v>2792365</v>
      </c>
      <c r="C19" s="55">
        <v>6081657</v>
      </c>
      <c r="D19" s="55">
        <v>4646388</v>
      </c>
      <c r="E19" s="55">
        <v>6081387</v>
      </c>
      <c r="F19" s="55">
        <v>4212070</v>
      </c>
      <c r="G19" s="55">
        <v>2801087</v>
      </c>
      <c r="H19" s="55">
        <v>1792715</v>
      </c>
      <c r="I19" s="55">
        <v>987059</v>
      </c>
      <c r="J19" s="55">
        <v>356862</v>
      </c>
      <c r="L19" s="10">
        <f t="shared" ref="L19:T19" si="18">IFERROR(B19/B4,"")</f>
        <v>6.5880483980842994E-2</v>
      </c>
      <c r="M19" s="10">
        <f t="shared" si="18"/>
        <v>0.14685717932685827</v>
      </c>
      <c r="N19" s="10">
        <f t="shared" si="18"/>
        <v>0.14685718367499168</v>
      </c>
      <c r="O19" s="10">
        <f t="shared" si="18"/>
        <v>0.11975547099097993</v>
      </c>
      <c r="P19" s="10">
        <f t="shared" si="18"/>
        <v>0.11975546522362782</v>
      </c>
      <c r="Q19" s="10">
        <f t="shared" si="18"/>
        <v>3.2158820466257183E-2</v>
      </c>
      <c r="R19" s="10">
        <f t="shared" si="18"/>
        <v>3.9281110205873188E-2</v>
      </c>
      <c r="S19" s="10">
        <f t="shared" si="18"/>
        <v>7.1075370889369049E-2</v>
      </c>
      <c r="T19" s="10">
        <f t="shared" si="18"/>
        <v>4.9354772190817651E-2</v>
      </c>
    </row>
    <row r="20" spans="1:20" ht="15" customHeight="1" x14ac:dyDescent="0.2">
      <c r="A20" s="54" t="s">
        <v>480</v>
      </c>
      <c r="B20" s="55">
        <v>-4339455</v>
      </c>
      <c r="C20" s="55">
        <v>-5865200</v>
      </c>
      <c r="D20" s="55">
        <v>-4481015</v>
      </c>
      <c r="E20" s="55">
        <v>-3653313</v>
      </c>
      <c r="F20" s="55">
        <v>-2530346</v>
      </c>
      <c r="G20" s="55">
        <v>-2091959</v>
      </c>
      <c r="H20" s="55">
        <v>-1128617</v>
      </c>
      <c r="I20" s="55">
        <v>-630159</v>
      </c>
      <c r="J20" s="55">
        <v>-682057</v>
      </c>
      <c r="L20" s="10">
        <f t="shared" ref="L20:T20" si="19">IFERROR(B20/B4,"")</f>
        <v>-0.1023810983209892</v>
      </c>
      <c r="M20" s="10">
        <f t="shared" si="19"/>
        <v>-0.14163027086004507</v>
      </c>
      <c r="N20" s="10">
        <f t="shared" si="19"/>
        <v>-0.14163028203959566</v>
      </c>
      <c r="O20" s="10">
        <f t="shared" si="19"/>
        <v>-7.1941519096296591E-2</v>
      </c>
      <c r="P20" s="10">
        <f t="shared" si="19"/>
        <v>-7.1941530507979634E-2</v>
      </c>
      <c r="Q20" s="10">
        <f t="shared" si="19"/>
        <v>-2.4017438195875714E-2</v>
      </c>
      <c r="R20" s="10">
        <f t="shared" si="19"/>
        <v>-2.4729713734320282E-2</v>
      </c>
      <c r="S20" s="10">
        <f t="shared" si="19"/>
        <v>-4.5375995400755084E-2</v>
      </c>
      <c r="T20" s="10">
        <f t="shared" si="19"/>
        <v>-9.4329931055008698E-2</v>
      </c>
    </row>
    <row r="21" spans="1:20" ht="15" customHeight="1" x14ac:dyDescent="0.2">
      <c r="A21" s="62" t="s">
        <v>481</v>
      </c>
      <c r="B21" s="63">
        <f t="shared" ref="B21:J21" si="20">B19+B20</f>
        <v>-1547090</v>
      </c>
      <c r="C21" s="63">
        <f t="shared" si="20"/>
        <v>216457</v>
      </c>
      <c r="D21" s="63">
        <f t="shared" si="20"/>
        <v>165373</v>
      </c>
      <c r="E21" s="63">
        <f t="shared" si="20"/>
        <v>2428074</v>
      </c>
      <c r="F21" s="63">
        <f t="shared" si="20"/>
        <v>1681724</v>
      </c>
      <c r="G21" s="63">
        <f t="shared" si="20"/>
        <v>709128</v>
      </c>
      <c r="H21" s="63">
        <f t="shared" si="20"/>
        <v>664098</v>
      </c>
      <c r="I21" s="63">
        <f t="shared" si="20"/>
        <v>356900</v>
      </c>
      <c r="J21" s="63">
        <f t="shared" si="20"/>
        <v>-325195</v>
      </c>
      <c r="L21" s="37">
        <f t="shared" ref="L21:T21" si="21">IFERROR(B21/B4,"")</f>
        <v>-3.650061434014621E-2</v>
      </c>
      <c r="M21" s="37">
        <f t="shared" si="21"/>
        <v>5.2269084668131989E-3</v>
      </c>
      <c r="N21" s="37">
        <f t="shared" si="21"/>
        <v>5.2269016353960101E-3</v>
      </c>
      <c r="O21" s="37">
        <f t="shared" si="21"/>
        <v>4.7813951894683335E-2</v>
      </c>
      <c r="P21" s="37">
        <f t="shared" si="21"/>
        <v>4.7813934715648189E-2</v>
      </c>
      <c r="Q21" s="37">
        <f t="shared" si="21"/>
        <v>8.1413822703814715E-3</v>
      </c>
      <c r="R21" s="37">
        <f t="shared" si="21"/>
        <v>1.4551396471552909E-2</v>
      </c>
      <c r="S21" s="37">
        <f t="shared" si="21"/>
        <v>2.5699375488613965E-2</v>
      </c>
      <c r="T21" s="37">
        <f t="shared" si="21"/>
        <v>-4.4975158864191046E-2</v>
      </c>
    </row>
    <row r="22" spans="1:20" ht="15" customHeight="1" x14ac:dyDescent="0.2">
      <c r="A22" s="54" t="s">
        <v>482</v>
      </c>
      <c r="B22" s="55">
        <v>-1997442</v>
      </c>
      <c r="C22" s="55">
        <v>-1010271</v>
      </c>
      <c r="D22" s="55">
        <v>-771847</v>
      </c>
      <c r="E22" s="55">
        <v>-1230882</v>
      </c>
      <c r="F22" s="55">
        <v>-852530</v>
      </c>
      <c r="G22" s="55">
        <v>-455261</v>
      </c>
      <c r="H22" s="55">
        <v>0</v>
      </c>
      <c r="I22" s="55">
        <v>0</v>
      </c>
      <c r="J22" s="55">
        <v>0</v>
      </c>
      <c r="L22" s="10">
        <f t="shared" ref="L22:T22" si="22">IFERROR(B22/B4,"")</f>
        <v>-4.7125803998998329E-2</v>
      </c>
      <c r="M22" s="10">
        <f t="shared" si="22"/>
        <v>-2.4395579924307541E-2</v>
      </c>
      <c r="N22" s="10">
        <f t="shared" si="22"/>
        <v>-2.4395568482010389E-2</v>
      </c>
      <c r="O22" s="10">
        <f t="shared" si="22"/>
        <v>-2.4238689898261587E-2</v>
      </c>
      <c r="P22" s="10">
        <f t="shared" si="22"/>
        <v>-2.4238706091565292E-2</v>
      </c>
      <c r="Q22" s="10">
        <f t="shared" si="22"/>
        <v>-5.226776877793768E-3</v>
      </c>
      <c r="R22" s="10">
        <f t="shared" si="22"/>
        <v>0</v>
      </c>
      <c r="S22" s="10">
        <f t="shared" si="22"/>
        <v>0</v>
      </c>
      <c r="T22" s="10">
        <f t="shared" si="22"/>
        <v>0</v>
      </c>
    </row>
    <row r="23" spans="1:20" ht="15" customHeight="1" x14ac:dyDescent="0.2">
      <c r="A23" s="62" t="s">
        <v>483</v>
      </c>
      <c r="B23" s="63">
        <f t="shared" ref="B23:J23" si="23">B18+B21+B22</f>
        <v>7516273</v>
      </c>
      <c r="C23" s="63">
        <f t="shared" si="23"/>
        <v>6149966</v>
      </c>
      <c r="D23" s="63">
        <f t="shared" si="23"/>
        <v>4698577</v>
      </c>
      <c r="E23" s="63">
        <f t="shared" si="23"/>
        <v>10310904</v>
      </c>
      <c r="F23" s="63">
        <f t="shared" si="23"/>
        <v>7141505</v>
      </c>
      <c r="G23" s="63">
        <f t="shared" si="23"/>
        <v>8156851</v>
      </c>
      <c r="H23" s="63">
        <f t="shared" si="23"/>
        <v>5980896</v>
      </c>
      <c r="I23" s="63">
        <f t="shared" si="23"/>
        <v>2400326</v>
      </c>
      <c r="J23" s="63">
        <f t="shared" si="23"/>
        <v>706829</v>
      </c>
      <c r="L23" s="37">
        <f t="shared" ref="L23:T23" si="24">IFERROR(B23/B4,"")</f>
        <v>0.17733201174350152</v>
      </c>
      <c r="M23" s="37">
        <f t="shared" si="24"/>
        <v>0.14850667502558615</v>
      </c>
      <c r="N23" s="37">
        <f t="shared" si="24"/>
        <v>0.14850670789871431</v>
      </c>
      <c r="O23" s="37">
        <f t="shared" si="24"/>
        <v>0.2030436748825192</v>
      </c>
      <c r="P23" s="37">
        <f t="shared" si="24"/>
        <v>0.2030436943526257</v>
      </c>
      <c r="Q23" s="37">
        <f t="shared" si="24"/>
        <v>9.3647468600229267E-2</v>
      </c>
      <c r="R23" s="37">
        <f t="shared" si="24"/>
        <v>0.13105052108442566</v>
      </c>
      <c r="S23" s="37">
        <f t="shared" si="24"/>
        <v>0.17284079341295266</v>
      </c>
      <c r="T23" s="37">
        <f t="shared" si="24"/>
        <v>9.7755951244076003E-2</v>
      </c>
    </row>
    <row r="24" spans="1:20" ht="15" customHeight="1" x14ac:dyDescent="0.2">
      <c r="A24" s="54" t="s">
        <v>484</v>
      </c>
      <c r="B24" s="55">
        <v>-1909033</v>
      </c>
      <c r="C24" s="55">
        <v>-2439616</v>
      </c>
      <c r="D24" s="55">
        <v>-1863867</v>
      </c>
      <c r="E24" s="55">
        <v>-3559844</v>
      </c>
      <c r="F24" s="55">
        <v>-2465607</v>
      </c>
      <c r="G24" s="55">
        <v>-2270194</v>
      </c>
      <c r="H24" s="55">
        <v>-1139217</v>
      </c>
      <c r="I24" s="55">
        <v>-746816</v>
      </c>
      <c r="J24" s="55">
        <v>-180742</v>
      </c>
      <c r="L24" s="10">
        <f t="shared" ref="L24:T24" si="25">IFERROR(B24/B4,"")</f>
        <v>-4.50399636062623E-2</v>
      </c>
      <c r="M24" s="10">
        <f t="shared" si="25"/>
        <v>-5.8910774547244714E-2</v>
      </c>
      <c r="N24" s="10">
        <f t="shared" si="25"/>
        <v>-5.8910762158639295E-2</v>
      </c>
      <c r="O24" s="10">
        <f t="shared" si="25"/>
        <v>-7.0100915280414469E-2</v>
      </c>
      <c r="P24" s="10">
        <f t="shared" si="25"/>
        <v>-7.0100903675302959E-2</v>
      </c>
      <c r="Q24" s="10">
        <f t="shared" si="25"/>
        <v>-2.6063725000178239E-2</v>
      </c>
      <c r="R24" s="10">
        <f t="shared" si="25"/>
        <v>-2.4961975844127057E-2</v>
      </c>
      <c r="S24" s="10">
        <f t="shared" si="25"/>
        <v>-5.3776141229769481E-2</v>
      </c>
      <c r="T24" s="10">
        <f t="shared" si="25"/>
        <v>-2.4997002301485629E-2</v>
      </c>
    </row>
    <row r="25" spans="1:20" ht="15" customHeight="1" x14ac:dyDescent="0.2">
      <c r="A25" s="54" t="s">
        <v>485</v>
      </c>
      <c r="B25" s="55">
        <v>-1256699</v>
      </c>
      <c r="C25" s="55">
        <v>148727</v>
      </c>
      <c r="D25" s="55">
        <v>113628</v>
      </c>
      <c r="E25" s="55">
        <v>2064556</v>
      </c>
      <c r="F25" s="55">
        <v>1429946</v>
      </c>
      <c r="G25" s="55">
        <v>389970</v>
      </c>
      <c r="H25" s="55">
        <v>43373</v>
      </c>
      <c r="I25" s="55">
        <v>181576</v>
      </c>
      <c r="J25" s="55">
        <v>31918</v>
      </c>
      <c r="L25" s="10">
        <f t="shared" ref="L25:T25" si="26">IFERROR(B25/B4,"")</f>
        <v>-2.9649396958578624E-2</v>
      </c>
      <c r="M25" s="10">
        <f t="shared" si="26"/>
        <v>3.5913942055176163E-3</v>
      </c>
      <c r="N25" s="10">
        <f t="shared" si="26"/>
        <v>3.5914108048277402E-3</v>
      </c>
      <c r="O25" s="10">
        <f t="shared" si="26"/>
        <v>4.0655507726650768E-2</v>
      </c>
      <c r="P25" s="10">
        <f t="shared" si="26"/>
        <v>4.0655508686860783E-2</v>
      </c>
      <c r="Q25" s="10">
        <f t="shared" si="26"/>
        <v>4.4771816145754541E-3</v>
      </c>
      <c r="R25" s="10">
        <f t="shared" si="26"/>
        <v>9.5036834798578574E-4</v>
      </c>
      <c r="S25" s="10">
        <f t="shared" si="26"/>
        <v>1.3074782302383216E-2</v>
      </c>
      <c r="T25" s="10">
        <f t="shared" si="26"/>
        <v>4.4143271594804653E-3</v>
      </c>
    </row>
    <row r="26" spans="1:20" ht="15" customHeight="1" x14ac:dyDescent="0.2">
      <c r="A26" s="62" t="s">
        <v>486</v>
      </c>
      <c r="B26" s="63">
        <f t="shared" ref="B26:J26" si="27">B24+B25</f>
        <v>-3165732</v>
      </c>
      <c r="C26" s="63">
        <f t="shared" si="27"/>
        <v>-2290889</v>
      </c>
      <c r="D26" s="63">
        <f t="shared" si="27"/>
        <v>-1750239</v>
      </c>
      <c r="E26" s="63">
        <f t="shared" si="27"/>
        <v>-1495288</v>
      </c>
      <c r="F26" s="63">
        <f t="shared" si="27"/>
        <v>-1035661</v>
      </c>
      <c r="G26" s="63">
        <f t="shared" si="27"/>
        <v>-1880224</v>
      </c>
      <c r="H26" s="63">
        <f t="shared" si="27"/>
        <v>-1095844</v>
      </c>
      <c r="I26" s="63">
        <f t="shared" si="27"/>
        <v>-565240</v>
      </c>
      <c r="J26" s="63">
        <f t="shared" si="27"/>
        <v>-148824</v>
      </c>
      <c r="L26" s="37">
        <f t="shared" ref="L26:T26" si="28">IFERROR(B26/B4,"")</f>
        <v>-7.468936056484092E-2</v>
      </c>
      <c r="M26" s="37">
        <f t="shared" si="28"/>
        <v>-5.5319380341727099E-2</v>
      </c>
      <c r="N26" s="37">
        <f t="shared" si="28"/>
        <v>-5.5319351353811552E-2</v>
      </c>
      <c r="O26" s="37">
        <f t="shared" si="28"/>
        <v>-2.9445407553763701E-2</v>
      </c>
      <c r="P26" s="37">
        <f t="shared" si="28"/>
        <v>-2.9445394988442168E-2</v>
      </c>
      <c r="Q26" s="37">
        <f t="shared" si="28"/>
        <v>-2.1586543385602786E-2</v>
      </c>
      <c r="R26" s="37">
        <f t="shared" si="28"/>
        <v>-2.4011607496141271E-2</v>
      </c>
      <c r="S26" s="37">
        <f t="shared" si="28"/>
        <v>-4.0701358927386265E-2</v>
      </c>
      <c r="T26" s="37">
        <f t="shared" si="28"/>
        <v>-2.0582675142005163E-2</v>
      </c>
    </row>
    <row r="27" spans="1:20" ht="15.75" customHeight="1" x14ac:dyDescent="0.2">
      <c r="A27" s="57" t="s">
        <v>487</v>
      </c>
      <c r="B27" s="58">
        <f t="shared" ref="B27:J27" si="29">B23+B26</f>
        <v>4350541</v>
      </c>
      <c r="C27" s="58">
        <f t="shared" si="29"/>
        <v>3859077</v>
      </c>
      <c r="D27" s="58">
        <f t="shared" si="29"/>
        <v>2948338</v>
      </c>
      <c r="E27" s="58">
        <f t="shared" si="29"/>
        <v>8815616</v>
      </c>
      <c r="F27" s="58">
        <f t="shared" si="29"/>
        <v>6105844</v>
      </c>
      <c r="G27" s="58">
        <f t="shared" si="29"/>
        <v>6276627</v>
      </c>
      <c r="H27" s="58">
        <f t="shared" si="29"/>
        <v>4885052</v>
      </c>
      <c r="I27" s="58">
        <f t="shared" si="29"/>
        <v>1835086</v>
      </c>
      <c r="J27" s="58">
        <f t="shared" si="29"/>
        <v>558005</v>
      </c>
      <c r="L27" s="59">
        <f t="shared" ref="L27:T27" si="30">IFERROR(B27/B4,"")</f>
        <v>0.10264265117866062</v>
      </c>
      <c r="M27" s="59">
        <f t="shared" si="30"/>
        <v>9.3187294683859057E-2</v>
      </c>
      <c r="N27" s="59">
        <f t="shared" si="30"/>
        <v>9.3187356544902747E-2</v>
      </c>
      <c r="O27" s="59">
        <f t="shared" si="30"/>
        <v>0.1735982673287555</v>
      </c>
      <c r="P27" s="59">
        <f t="shared" si="30"/>
        <v>0.17359829936418353</v>
      </c>
      <c r="Q27" s="59">
        <f t="shared" si="30"/>
        <v>7.2060925214626481E-2</v>
      </c>
      <c r="R27" s="59">
        <f t="shared" si="30"/>
        <v>0.10703891358828438</v>
      </c>
      <c r="S27" s="59">
        <f t="shared" si="30"/>
        <v>0.13213943448556639</v>
      </c>
      <c r="T27" s="59">
        <f t="shared" si="30"/>
        <v>7.7173276102070837E-2</v>
      </c>
    </row>
    <row r="28" spans="1:20" ht="15" customHeight="1" x14ac:dyDescent="0.2">
      <c r="A28" s="54"/>
      <c r="B28" s="65"/>
      <c r="C28" s="65"/>
      <c r="D28" s="65"/>
      <c r="E28" s="65"/>
      <c r="F28" s="65"/>
      <c r="G28" s="65"/>
      <c r="H28" s="65"/>
      <c r="I28" s="65"/>
      <c r="J28" s="65"/>
    </row>
    <row r="29" spans="1:20" ht="15" customHeight="1" x14ac:dyDescent="0.2">
      <c r="A29" s="54" t="s">
        <v>488</v>
      </c>
      <c r="B29" s="55">
        <v>698171</v>
      </c>
      <c r="C29" s="55">
        <v>1231764</v>
      </c>
      <c r="D29" s="55">
        <v>941068</v>
      </c>
      <c r="E29" s="55">
        <v>879676</v>
      </c>
      <c r="F29" s="55">
        <v>609279</v>
      </c>
      <c r="G29" s="55">
        <v>695063</v>
      </c>
      <c r="H29" s="55">
        <v>323541</v>
      </c>
      <c r="I29" s="55">
        <v>155337</v>
      </c>
      <c r="J29" s="55">
        <v>87969</v>
      </c>
      <c r="L29" s="10">
        <f t="shared" ref="L29:T29" si="31">IFERROR(B29/B4,"")</f>
        <v>1.6472002543145015E-2</v>
      </c>
      <c r="M29" s="10">
        <f t="shared" si="31"/>
        <v>2.9744095504953376E-2</v>
      </c>
      <c r="N29" s="10">
        <f t="shared" si="31"/>
        <v>2.9744092858077515E-2</v>
      </c>
      <c r="O29" s="10">
        <f t="shared" si="31"/>
        <v>1.7322695250189021E-2</v>
      </c>
      <c r="P29" s="10">
        <f t="shared" si="31"/>
        <v>1.7322715457242337E-2</v>
      </c>
      <c r="Q29" s="10">
        <f t="shared" si="31"/>
        <v>7.9799043120538978E-3</v>
      </c>
      <c r="R29" s="10">
        <f t="shared" si="31"/>
        <v>7.0892750253768264E-3</v>
      </c>
      <c r="S29" s="10">
        <f t="shared" si="31"/>
        <v>1.1185384954538604E-2</v>
      </c>
      <c r="T29" s="10">
        <f t="shared" si="31"/>
        <v>1.2166299451479951E-2</v>
      </c>
    </row>
    <row r="30" spans="1:20" ht="15" customHeight="1" x14ac:dyDescent="0.2">
      <c r="A30" s="62" t="s">
        <v>489</v>
      </c>
      <c r="B30" s="63">
        <f t="shared" ref="B30:J30" si="32">B27-B29</f>
        <v>3652370</v>
      </c>
      <c r="C30" s="63">
        <f t="shared" si="32"/>
        <v>2627313</v>
      </c>
      <c r="D30" s="63">
        <f t="shared" si="32"/>
        <v>2007270</v>
      </c>
      <c r="E30" s="63">
        <f t="shared" si="32"/>
        <v>7935940</v>
      </c>
      <c r="F30" s="63">
        <f t="shared" si="32"/>
        <v>5496565</v>
      </c>
      <c r="G30" s="63">
        <f t="shared" si="32"/>
        <v>5581564</v>
      </c>
      <c r="H30" s="63">
        <f t="shared" si="32"/>
        <v>4561511</v>
      </c>
      <c r="I30" s="63">
        <f t="shared" si="32"/>
        <v>1679749</v>
      </c>
      <c r="J30" s="63">
        <f t="shared" si="32"/>
        <v>470036</v>
      </c>
      <c r="L30" s="37">
        <f t="shared" ref="L30:T30" si="33">IFERROR(B30/B4,"")</f>
        <v>8.6170648635515587E-2</v>
      </c>
      <c r="M30" s="37">
        <f t="shared" si="33"/>
        <v>6.3443199178905674E-2</v>
      </c>
      <c r="N30" s="37">
        <f t="shared" si="33"/>
        <v>6.3443263686825235E-2</v>
      </c>
      <c r="O30" s="37">
        <f t="shared" si="33"/>
        <v>0.15627557207856649</v>
      </c>
      <c r="P30" s="37">
        <f t="shared" si="33"/>
        <v>0.15627558390694121</v>
      </c>
      <c r="Q30" s="37">
        <f t="shared" si="33"/>
        <v>6.4081020902572575E-2</v>
      </c>
      <c r="R30" s="37">
        <f t="shared" si="33"/>
        <v>9.9949638562907561E-2</v>
      </c>
      <c r="S30" s="37">
        <f t="shared" si="33"/>
        <v>0.1209540495310278</v>
      </c>
      <c r="T30" s="37">
        <f t="shared" si="33"/>
        <v>6.5006976650590895E-2</v>
      </c>
    </row>
    <row r="31" spans="1:20" ht="15" customHeight="1" x14ac:dyDescent="0.2">
      <c r="A31" s="54" t="s">
        <v>490</v>
      </c>
      <c r="B31" s="66">
        <v>2.98</v>
      </c>
      <c r="C31" s="66">
        <v>2.14</v>
      </c>
      <c r="D31" s="66">
        <v>1.64</v>
      </c>
      <c r="E31" s="66">
        <v>6.47</v>
      </c>
      <c r="F31" s="66">
        <v>4.4800000000000004</v>
      </c>
      <c r="G31" s="66">
        <v>4.55</v>
      </c>
      <c r="H31" s="66">
        <v>3.72</v>
      </c>
      <c r="I31" s="66">
        <v>1.37</v>
      </c>
      <c r="J31" s="66">
        <v>0.76700000000000002</v>
      </c>
      <c r="L31" s="10">
        <f t="shared" ref="L31:T31" si="34">IFERROR(B31/B4,"")</f>
        <v>7.0307371086126672E-8</v>
      </c>
      <c r="M31" s="10">
        <f t="shared" si="34"/>
        <v>5.1675779110771407E-8</v>
      </c>
      <c r="N31" s="10">
        <f t="shared" si="34"/>
        <v>5.1835055795380483E-8</v>
      </c>
      <c r="O31" s="10">
        <f t="shared" si="34"/>
        <v>1.2740808919275159E-7</v>
      </c>
      <c r="P31" s="10">
        <f t="shared" si="34"/>
        <v>1.2737311682898258E-7</v>
      </c>
      <c r="Q31" s="10">
        <f t="shared" si="34"/>
        <v>5.2237803795979983E-8</v>
      </c>
      <c r="R31" s="10">
        <f t="shared" si="34"/>
        <v>8.151085363030279E-8</v>
      </c>
      <c r="S31" s="10">
        <f t="shared" si="34"/>
        <v>9.8649886297005151E-8</v>
      </c>
      <c r="T31" s="10">
        <f t="shared" si="34"/>
        <v>1.0607772828252137E-7</v>
      </c>
    </row>
    <row r="34" spans="11:20" ht="21.75" customHeight="1" x14ac:dyDescent="0.2">
      <c r="L34" s="254" t="s">
        <v>314</v>
      </c>
      <c r="M34" s="254"/>
      <c r="N34" s="254"/>
      <c r="O34" s="254"/>
      <c r="P34" s="254"/>
      <c r="Q34" s="254"/>
      <c r="R34" s="254"/>
      <c r="S34" s="254"/>
      <c r="T34" s="254"/>
    </row>
    <row r="35" spans="11:20" ht="15" customHeight="1" x14ac:dyDescent="0.2">
      <c r="L35" s="2" t="s">
        <v>315</v>
      </c>
      <c r="M35" s="2" t="s">
        <v>316</v>
      </c>
      <c r="N35" s="2" t="s">
        <v>317</v>
      </c>
      <c r="O35" s="2" t="s">
        <v>318</v>
      </c>
      <c r="P35" s="2" t="s">
        <v>319</v>
      </c>
    </row>
    <row r="36" spans="11:20" ht="15" customHeight="1" x14ac:dyDescent="0.2">
      <c r="K36" s="8" t="s">
        <v>466</v>
      </c>
      <c r="L36" s="10">
        <f t="shared" ref="L36:L45" si="35">IFERROR((B4-C4)/ABS(C4),"-")</f>
        <v>2.3501927011535844E-2</v>
      </c>
      <c r="M36" s="10">
        <f t="shared" ref="M36:M45" si="36">IFERROR((D4-E4)/ABS(E4),"-")</f>
        <v>-0.37696420393919422</v>
      </c>
      <c r="N36" s="10">
        <f t="shared" ref="N36:N45" si="37">IFERROR((F4-G4)/ABS(G4),"-")</f>
        <v>-0.59619308566422335</v>
      </c>
      <c r="O36" s="10">
        <f t="shared" ref="O36:O45" si="38">IFERROR((H4-I4)/ABS(I4),"-")</f>
        <v>2.286272105045279</v>
      </c>
      <c r="P36" s="10">
        <f t="shared" ref="P36:P45" si="39">IFERROR((I4-J4)/ABS(J4),"-")</f>
        <v>0.92067031719730197</v>
      </c>
    </row>
    <row r="37" spans="11:20" ht="15" customHeight="1" x14ac:dyDescent="0.2">
      <c r="K37" s="8" t="s">
        <v>467</v>
      </c>
      <c r="L37" s="10">
        <f t="shared" si="35"/>
        <v>2.5026534163343887E-2</v>
      </c>
      <c r="M37" s="10">
        <f t="shared" si="36"/>
        <v>0.3818606371779602</v>
      </c>
      <c r="N37" s="10">
        <f t="shared" si="37"/>
        <v>0.63460185583277839</v>
      </c>
      <c r="O37" s="10">
        <f t="shared" si="38"/>
        <v>-2.4034362774707976</v>
      </c>
      <c r="P37" s="10">
        <f t="shared" si="39"/>
        <v>-0.957376616040296</v>
      </c>
    </row>
    <row r="38" spans="11:20" ht="15" customHeight="1" x14ac:dyDescent="0.2">
      <c r="K38" s="1" t="s">
        <v>468</v>
      </c>
      <c r="L38" s="59">
        <f t="shared" si="35"/>
        <v>0.20454029076256722</v>
      </c>
      <c r="M38" s="59">
        <f t="shared" si="36"/>
        <v>-0.35799244297893268</v>
      </c>
      <c r="N38" s="59">
        <f t="shared" si="37"/>
        <v>-0.31872364155019833</v>
      </c>
      <c r="O38" s="59">
        <f t="shared" si="38"/>
        <v>1.6206905177680604</v>
      </c>
      <c r="P38" s="59">
        <f t="shared" si="39"/>
        <v>0.73575953727107168</v>
      </c>
    </row>
    <row r="39" spans="11:20" ht="15" customHeight="1" x14ac:dyDescent="0.2">
      <c r="K39" s="8" t="s">
        <v>469</v>
      </c>
      <c r="L39" s="10">
        <f t="shared" si="35"/>
        <v>9.9882134970359054E-2</v>
      </c>
      <c r="M39" s="10">
        <f t="shared" si="36"/>
        <v>-0.31019257677166046</v>
      </c>
      <c r="N39" s="10">
        <f t="shared" si="37"/>
        <v>-0.38188201210186379</v>
      </c>
      <c r="O39" s="10">
        <f t="shared" si="38"/>
        <v>-0.81594987633163785</v>
      </c>
      <c r="P39" s="10">
        <f t="shared" si="39"/>
        <v>-0.40148876189178373</v>
      </c>
    </row>
    <row r="40" spans="11:20" ht="15" customHeight="1" x14ac:dyDescent="0.2">
      <c r="K40" s="8" t="s">
        <v>470</v>
      </c>
      <c r="L40" s="10">
        <f t="shared" si="35"/>
        <v>0.31531167657184622</v>
      </c>
      <c r="M40" s="10">
        <f t="shared" si="36"/>
        <v>-0.1735354072498449</v>
      </c>
      <c r="N40" s="10">
        <f t="shared" si="37"/>
        <v>0.45924251510817915</v>
      </c>
      <c r="O40" s="10">
        <f t="shared" si="38"/>
        <v>-1.358497191011236</v>
      </c>
      <c r="P40" s="10">
        <f t="shared" si="39"/>
        <v>0.11212719526135301</v>
      </c>
    </row>
    <row r="41" spans="11:20" ht="15" customHeight="1" x14ac:dyDescent="0.2">
      <c r="K41" s="8" t="s">
        <v>471</v>
      </c>
      <c r="L41" s="10">
        <f t="shared" si="35"/>
        <v>1.0505548880770723</v>
      </c>
      <c r="M41" s="10">
        <f t="shared" si="36"/>
        <v>-0.45228819895329164</v>
      </c>
      <c r="N41" s="10">
        <f t="shared" si="37"/>
        <v>-0.36200746678408752</v>
      </c>
      <c r="O41" s="10">
        <f t="shared" si="38"/>
        <v>0.7103101847147546</v>
      </c>
      <c r="P41" s="10">
        <f t="shared" si="39"/>
        <v>15.072498757367038</v>
      </c>
    </row>
    <row r="42" spans="11:20" ht="15" customHeight="1" x14ac:dyDescent="0.2">
      <c r="K42" s="8" t="s">
        <v>472</v>
      </c>
      <c r="L42" s="10">
        <f t="shared" si="35"/>
        <v>-4.596299052196294E-2</v>
      </c>
      <c r="M42" s="10">
        <f t="shared" si="36"/>
        <v>0.14916624214637458</v>
      </c>
      <c r="N42" s="10">
        <f t="shared" si="37"/>
        <v>0.64388862308490169</v>
      </c>
      <c r="O42" s="10">
        <f t="shared" si="38"/>
        <v>-0.98544935414350232</v>
      </c>
      <c r="P42" s="10">
        <f t="shared" si="39"/>
        <v>-0.727712557808609</v>
      </c>
    </row>
    <row r="43" spans="11:20" ht="15" customHeight="1" x14ac:dyDescent="0.2">
      <c r="K43" s="1" t="s">
        <v>473</v>
      </c>
      <c r="L43" s="59">
        <f t="shared" si="35"/>
        <v>0.35441441179455857</v>
      </c>
      <c r="M43" s="59">
        <f t="shared" si="36"/>
        <v>-0.44706056039437053</v>
      </c>
      <c r="N43" s="59">
        <f t="shared" si="37"/>
        <v>-0.35049145522291536</v>
      </c>
      <c r="O43" s="59">
        <f t="shared" si="38"/>
        <v>1.6084891068231144</v>
      </c>
      <c r="P43" s="59">
        <f t="shared" si="39"/>
        <v>0.97523868723698359</v>
      </c>
    </row>
    <row r="44" spans="11:20" ht="15" customHeight="1" x14ac:dyDescent="0.2">
      <c r="K44" s="8" t="s">
        <v>474</v>
      </c>
      <c r="L44" s="10">
        <f t="shared" si="35"/>
        <v>0.24597276272703256</v>
      </c>
      <c r="M44" s="10">
        <f t="shared" si="36"/>
        <v>-9.7551267482791443E-2</v>
      </c>
      <c r="N44" s="10">
        <f t="shared" si="37"/>
        <v>-0.35416052604112308</v>
      </c>
      <c r="O44" s="10">
        <f t="shared" si="38"/>
        <v>1.2400659219923091</v>
      </c>
      <c r="P44" s="10">
        <f t="shared" si="39"/>
        <v>0.21981623632403918</v>
      </c>
    </row>
    <row r="45" spans="11:20" ht="15" customHeight="1" x14ac:dyDescent="0.2">
      <c r="K45" s="1" t="s">
        <v>331</v>
      </c>
      <c r="L45" s="59">
        <f t="shared" si="35"/>
        <v>0.32498710146191662</v>
      </c>
      <c r="M45" s="59">
        <f t="shared" si="36"/>
        <v>-0.38212356270971226</v>
      </c>
      <c r="N45" s="59">
        <f t="shared" si="37"/>
        <v>-0.3511762991501346</v>
      </c>
      <c r="O45" s="59">
        <f t="shared" si="38"/>
        <v>1.5288402281318743</v>
      </c>
      <c r="P45" s="59">
        <f t="shared" si="39"/>
        <v>0.74201148354420976</v>
      </c>
    </row>
    <row r="46" spans="11:20" ht="15" customHeight="1" x14ac:dyDescent="0.2">
      <c r="K46" s="8" t="s">
        <v>475</v>
      </c>
      <c r="L46" s="10">
        <f t="shared" ref="L46:L58" si="40">IFERROR((B15-C15)/ABS(C15),"-")</f>
        <v>2.6495260609120748</v>
      </c>
      <c r="M46" s="10">
        <f t="shared" ref="M46:M58" si="41">IFERROR((D15-E15)/ABS(E15),"-")</f>
        <v>1.2167433078043739</v>
      </c>
      <c r="N46" s="10">
        <f t="shared" ref="N46:N58" si="42">IFERROR((F15-G15)/ABS(G15),"-")</f>
        <v>-1.3936252200964205</v>
      </c>
      <c r="O46" s="10">
        <f t="shared" ref="O46:O58" si="43">IFERROR((H15-I15)/ABS(I15),"-")</f>
        <v>-3.7878582329998305</v>
      </c>
      <c r="P46" s="10">
        <f t="shared" ref="P46:P58" si="44">IFERROR((I15-J15)/ABS(J15),"-")</f>
        <v>-0.6681753889674682</v>
      </c>
    </row>
    <row r="47" spans="11:20" ht="15" customHeight="1" x14ac:dyDescent="0.2">
      <c r="K47" s="8" t="s">
        <v>476</v>
      </c>
      <c r="L47" s="10">
        <f t="shared" si="40"/>
        <v>0.80815730268890151</v>
      </c>
      <c r="M47" s="10">
        <f t="shared" si="41"/>
        <v>2.1666262408480437</v>
      </c>
      <c r="N47" s="10">
        <f t="shared" si="42"/>
        <v>0.56540983939412393</v>
      </c>
      <c r="O47" s="10">
        <f t="shared" si="43"/>
        <v>14.259072580645162</v>
      </c>
      <c r="P47" s="10">
        <f t="shared" si="44"/>
        <v>11.717948717948717</v>
      </c>
    </row>
    <row r="48" spans="11:20" ht="15" customHeight="1" x14ac:dyDescent="0.2">
      <c r="K48" s="8" t="s">
        <v>477</v>
      </c>
      <c r="L48" s="10">
        <f t="shared" si="40"/>
        <v>0.99496448972593465</v>
      </c>
      <c r="M48" s="10">
        <f t="shared" si="41"/>
        <v>-2.4652960507081128</v>
      </c>
      <c r="N48" s="10">
        <f t="shared" si="42"/>
        <v>0.95076633273396693</v>
      </c>
      <c r="O48" s="10" t="str">
        <f t="shared" si="43"/>
        <v>-</v>
      </c>
      <c r="P48" s="10" t="str">
        <f t="shared" si="44"/>
        <v>-</v>
      </c>
    </row>
    <row r="49" spans="11:16" ht="15" customHeight="1" x14ac:dyDescent="0.2">
      <c r="K49" s="64" t="s">
        <v>478</v>
      </c>
      <c r="L49" s="37">
        <f t="shared" si="40"/>
        <v>0.59290832946896355</v>
      </c>
      <c r="M49" s="37">
        <f t="shared" si="41"/>
        <v>-0.41790447185515628</v>
      </c>
      <c r="N49" s="37">
        <f t="shared" si="42"/>
        <v>-0.20127498676449301</v>
      </c>
      <c r="O49" s="37">
        <f t="shared" si="43"/>
        <v>1.6019038614562016</v>
      </c>
      <c r="P49" s="37">
        <f t="shared" si="44"/>
        <v>0.98001790656031251</v>
      </c>
    </row>
    <row r="50" spans="11:16" ht="15" customHeight="1" x14ac:dyDescent="0.2">
      <c r="K50" s="8" t="s">
        <v>479</v>
      </c>
      <c r="L50" s="10">
        <f t="shared" si="40"/>
        <v>-0.54085457302179318</v>
      </c>
      <c r="M50" s="10">
        <f t="shared" si="41"/>
        <v>-0.23596574268337142</v>
      </c>
      <c r="N50" s="10">
        <f t="shared" si="42"/>
        <v>0.50372694600346224</v>
      </c>
      <c r="O50" s="10">
        <f t="shared" si="43"/>
        <v>0.81621868601572956</v>
      </c>
      <c r="P50" s="10">
        <f t="shared" si="44"/>
        <v>1.7659403354798213</v>
      </c>
    </row>
    <row r="51" spans="11:16" ht="15" customHeight="1" x14ac:dyDescent="0.2">
      <c r="K51" s="8" t="s">
        <v>480</v>
      </c>
      <c r="L51" s="10">
        <f t="shared" si="40"/>
        <v>0.26013520425560938</v>
      </c>
      <c r="M51" s="10">
        <f t="shared" si="41"/>
        <v>-0.22656202739814518</v>
      </c>
      <c r="N51" s="10">
        <f t="shared" si="42"/>
        <v>-0.20955812231501669</v>
      </c>
      <c r="O51" s="10">
        <f t="shared" si="43"/>
        <v>-0.7910035403763177</v>
      </c>
      <c r="P51" s="10">
        <f t="shared" si="44"/>
        <v>7.6090414730733649E-2</v>
      </c>
    </row>
    <row r="52" spans="11:16" ht="15" customHeight="1" x14ac:dyDescent="0.2">
      <c r="K52" s="64" t="s">
        <v>481</v>
      </c>
      <c r="L52" s="37">
        <f t="shared" si="40"/>
        <v>-8.1473318026213057</v>
      </c>
      <c r="M52" s="37">
        <f t="shared" si="41"/>
        <v>-0.93189128502673313</v>
      </c>
      <c r="N52" s="37">
        <f t="shared" si="42"/>
        <v>1.3715380016019676</v>
      </c>
      <c r="O52" s="37">
        <f t="shared" si="43"/>
        <v>0.8607397029980387</v>
      </c>
      <c r="P52" s="37">
        <f t="shared" si="44"/>
        <v>2.0974953489444794</v>
      </c>
    </row>
    <row r="53" spans="11:16" ht="15" customHeight="1" x14ac:dyDescent="0.2">
      <c r="K53" s="8" t="s">
        <v>482</v>
      </c>
      <c r="L53" s="10">
        <f t="shared" si="40"/>
        <v>-0.97713484797643402</v>
      </c>
      <c r="M53" s="10">
        <f t="shared" si="41"/>
        <v>0.3729317676267912</v>
      </c>
      <c r="N53" s="10">
        <f t="shared" si="42"/>
        <v>-0.87261812454833598</v>
      </c>
      <c r="O53" s="10" t="str">
        <f t="shared" si="43"/>
        <v>-</v>
      </c>
      <c r="P53" s="10" t="str">
        <f t="shared" si="44"/>
        <v>-</v>
      </c>
    </row>
    <row r="54" spans="11:16" ht="15" customHeight="1" x14ac:dyDescent="0.2">
      <c r="K54" s="64" t="s">
        <v>483</v>
      </c>
      <c r="L54" s="37">
        <f t="shared" si="40"/>
        <v>0.22216496806649014</v>
      </c>
      <c r="M54" s="37">
        <f t="shared" si="41"/>
        <v>-0.54430988786240275</v>
      </c>
      <c r="N54" s="37">
        <f t="shared" si="42"/>
        <v>-0.12447769365898678</v>
      </c>
      <c r="O54" s="37">
        <f t="shared" si="43"/>
        <v>1.4917015438736239</v>
      </c>
      <c r="P54" s="37">
        <f t="shared" si="44"/>
        <v>2.3959076381982065</v>
      </c>
    </row>
    <row r="55" spans="11:16" ht="15" customHeight="1" x14ac:dyDescent="0.2">
      <c r="K55" s="8" t="s">
        <v>484</v>
      </c>
      <c r="L55" s="10">
        <f t="shared" si="40"/>
        <v>0.21748627652876518</v>
      </c>
      <c r="M55" s="10">
        <f t="shared" si="41"/>
        <v>0.47641891049158336</v>
      </c>
      <c r="N55" s="10">
        <f t="shared" si="42"/>
        <v>-8.6077665609194637E-2</v>
      </c>
      <c r="O55" s="10">
        <f t="shared" si="43"/>
        <v>-0.52543196717799301</v>
      </c>
      <c r="P55" s="10">
        <f t="shared" si="44"/>
        <v>-3.1319449823505328</v>
      </c>
    </row>
    <row r="56" spans="11:16" ht="15" customHeight="1" x14ac:dyDescent="0.2">
      <c r="K56" s="8" t="s">
        <v>485</v>
      </c>
      <c r="L56" s="10">
        <f t="shared" si="40"/>
        <v>-9.4497031473774094</v>
      </c>
      <c r="M56" s="10">
        <f t="shared" si="41"/>
        <v>-0.94496250041171082</v>
      </c>
      <c r="N56" s="10">
        <f t="shared" si="42"/>
        <v>2.6668102674564711</v>
      </c>
      <c r="O56" s="10">
        <f t="shared" si="43"/>
        <v>-0.76113032559369076</v>
      </c>
      <c r="P56" s="10">
        <f t="shared" si="44"/>
        <v>4.6888276207782447</v>
      </c>
    </row>
    <row r="57" spans="11:16" ht="15" customHeight="1" x14ac:dyDescent="0.2">
      <c r="K57" s="64" t="s">
        <v>486</v>
      </c>
      <c r="L57" s="37">
        <f t="shared" si="40"/>
        <v>-0.38187926171892222</v>
      </c>
      <c r="M57" s="37">
        <f t="shared" si="41"/>
        <v>-0.17050293990187843</v>
      </c>
      <c r="N57" s="37">
        <f t="shared" si="42"/>
        <v>0.44918211872627944</v>
      </c>
      <c r="O57" s="37">
        <f t="shared" si="43"/>
        <v>-0.93872337414195739</v>
      </c>
      <c r="P57" s="37">
        <f t="shared" si="44"/>
        <v>-2.7980433263452134</v>
      </c>
    </row>
    <row r="58" spans="11:16" ht="15" customHeight="1" x14ac:dyDescent="0.2">
      <c r="K58" s="1" t="s">
        <v>487</v>
      </c>
      <c r="L58" s="59">
        <f t="shared" si="40"/>
        <v>0.12735273227250973</v>
      </c>
      <c r="M58" s="59">
        <f t="shared" si="41"/>
        <v>-0.66555507862411434</v>
      </c>
      <c r="N58" s="59">
        <f t="shared" si="42"/>
        <v>-2.7209359421867828E-2</v>
      </c>
      <c r="O58" s="59">
        <f t="shared" si="43"/>
        <v>1.662028918535698</v>
      </c>
      <c r="P58" s="59">
        <f t="shared" si="44"/>
        <v>2.2886551195777818</v>
      </c>
    </row>
    <row r="59" spans="11:16" ht="15" customHeight="1" x14ac:dyDescent="0.2">
      <c r="K59" s="8" t="s">
        <v>488</v>
      </c>
      <c r="L59" s="10">
        <f>IFERROR((B29-C29)/ABS(C29),"-")</f>
        <v>-0.43319418330134668</v>
      </c>
      <c r="M59" s="10">
        <f>IFERROR((D29-E29)/ABS(E29),"-")</f>
        <v>6.9789331526607518E-2</v>
      </c>
      <c r="N59" s="10">
        <f>IFERROR((F29-G29)/ABS(G29),"-")</f>
        <v>-0.12341902820319885</v>
      </c>
      <c r="O59" s="10">
        <f t="shared" ref="O59:P61" si="45">IFERROR((H29-I29)/ABS(I29),"-")</f>
        <v>1.0828328086676065</v>
      </c>
      <c r="P59" s="10">
        <f t="shared" si="45"/>
        <v>0.76581523036524235</v>
      </c>
    </row>
    <row r="60" spans="11:16" ht="15" customHeight="1" x14ac:dyDescent="0.2">
      <c r="K60" s="64" t="s">
        <v>489</v>
      </c>
      <c r="L60" s="37">
        <f>IFERROR((B30-C30)/ABS(C30),"-")</f>
        <v>0.39015412324302434</v>
      </c>
      <c r="M60" s="37">
        <f>IFERROR((D30-E30)/ABS(E30),"-")</f>
        <v>-0.74706588003437524</v>
      </c>
      <c r="N60" s="37">
        <f>IFERROR((F30-G30)/ABS(G30),"-")</f>
        <v>-1.5228527344665403E-2</v>
      </c>
      <c r="O60" s="37">
        <f t="shared" si="45"/>
        <v>1.7155908412506868</v>
      </c>
      <c r="P60" s="37">
        <f t="shared" si="45"/>
        <v>2.5736603153800988</v>
      </c>
    </row>
    <row r="61" spans="11:16" ht="15" customHeight="1" x14ac:dyDescent="0.2">
      <c r="K61" s="8" t="s">
        <v>490</v>
      </c>
      <c r="L61" s="10">
        <f>IFERROR((B31-C31)/ABS(C31),"-")</f>
        <v>0.39252336448598124</v>
      </c>
      <c r="M61" s="10">
        <f>IFERROR((D31-E31)/ABS(E31),"-")</f>
        <v>-0.74652241112828444</v>
      </c>
      <c r="N61" s="10">
        <f>IFERROR((F31-G31)/ABS(G31),"-")</f>
        <v>-1.5384615384615252E-2</v>
      </c>
      <c r="O61" s="10">
        <f t="shared" si="45"/>
        <v>1.7153284671532847</v>
      </c>
      <c r="P61" s="10">
        <f t="shared" si="45"/>
        <v>0.78617992177314222</v>
      </c>
    </row>
  </sheetData>
  <mergeCells count="3">
    <mergeCell ref="A1:J1"/>
    <mergeCell ref="L1:T1"/>
    <mergeCell ref="L34:T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6" customWidth="1"/>
    <col min="2" max="10" width="14" customWidth="1"/>
    <col min="11" max="11" width="40" customWidth="1"/>
    <col min="12" max="20" width="12" customWidth="1"/>
  </cols>
  <sheetData>
    <row r="1" spans="1:20" ht="21.75" customHeight="1" x14ac:dyDescent="0.2">
      <c r="A1" s="256" t="s">
        <v>491</v>
      </c>
      <c r="B1" s="256"/>
      <c r="C1" s="256"/>
      <c r="D1" s="256"/>
      <c r="E1" s="256"/>
      <c r="F1" s="256"/>
      <c r="G1" s="256"/>
      <c r="H1" s="256"/>
      <c r="I1" s="256"/>
      <c r="J1" s="256"/>
      <c r="L1" s="254" t="s">
        <v>344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51" t="s">
        <v>2</v>
      </c>
      <c r="B2" s="67" t="s">
        <v>456</v>
      </c>
      <c r="C2" s="67" t="s">
        <v>457</v>
      </c>
      <c r="D2" s="67" t="s">
        <v>458</v>
      </c>
      <c r="E2" s="67" t="s">
        <v>459</v>
      </c>
      <c r="F2" s="67" t="s">
        <v>460</v>
      </c>
      <c r="G2" s="67" t="s">
        <v>461</v>
      </c>
      <c r="H2" s="67" t="s">
        <v>462</v>
      </c>
      <c r="I2" s="67" t="s">
        <v>463</v>
      </c>
      <c r="J2" s="67" t="s">
        <v>464</v>
      </c>
      <c r="L2" s="7" t="s">
        <v>456</v>
      </c>
      <c r="M2" s="7" t="s">
        <v>457</v>
      </c>
      <c r="N2" s="7" t="s">
        <v>458</v>
      </c>
      <c r="O2" s="7" t="s">
        <v>459</v>
      </c>
      <c r="P2" s="7" t="s">
        <v>460</v>
      </c>
      <c r="Q2" s="7" t="s">
        <v>461</v>
      </c>
      <c r="R2" s="7" t="s">
        <v>462</v>
      </c>
      <c r="S2" s="7" t="s">
        <v>463</v>
      </c>
      <c r="T2" s="7" t="s">
        <v>464</v>
      </c>
    </row>
    <row r="3" spans="1:20" ht="15.75" customHeight="1" x14ac:dyDescent="0.2">
      <c r="A3" s="53" t="s">
        <v>345</v>
      </c>
      <c r="B3" s="53"/>
      <c r="C3" s="53"/>
      <c r="D3" s="53"/>
      <c r="E3" s="53"/>
      <c r="F3" s="53"/>
      <c r="G3" s="53"/>
      <c r="H3" s="53"/>
      <c r="I3" s="53"/>
      <c r="J3" s="53"/>
    </row>
    <row r="4" spans="1:20" ht="15" customHeight="1" x14ac:dyDescent="0.2">
      <c r="A4" s="54" t="s">
        <v>492</v>
      </c>
      <c r="B4" s="55">
        <v>4350540</v>
      </c>
      <c r="C4" s="55">
        <v>3859078</v>
      </c>
      <c r="D4" s="55">
        <v>2948337</v>
      </c>
      <c r="E4" s="55">
        <v>8815617</v>
      </c>
      <c r="F4" s="55">
        <v>6105844</v>
      </c>
      <c r="G4" s="55">
        <v>6276629</v>
      </c>
      <c r="H4" s="55">
        <v>4885052</v>
      </c>
      <c r="I4" s="55">
        <v>1835087</v>
      </c>
      <c r="J4" s="55">
        <v>558005</v>
      </c>
      <c r="L4" s="10">
        <f t="shared" ref="L4:T4" si="0">IFERROR(B4/B11,"")</f>
        <v>0.36861595112504991</v>
      </c>
      <c r="M4" s="10">
        <f t="shared" si="0"/>
        <v>0.23392268656866602</v>
      </c>
      <c r="N4" s="10">
        <f t="shared" si="0"/>
        <v>0.23392270674443946</v>
      </c>
      <c r="O4" s="10">
        <f t="shared" si="0"/>
        <v>1.1595605421865032</v>
      </c>
      <c r="P4" s="10">
        <f t="shared" si="0"/>
        <v>1.2930140937054695</v>
      </c>
      <c r="Q4" s="10">
        <f t="shared" si="0"/>
        <v>5.4641769254810058</v>
      </c>
      <c r="R4" s="10">
        <f t="shared" si="0"/>
        <v>6.3560191576315006</v>
      </c>
      <c r="S4" s="10">
        <f t="shared" si="0"/>
        <v>1.2148758634478065</v>
      </c>
      <c r="T4" s="10">
        <f t="shared" si="0"/>
        <v>0.44083292976677935</v>
      </c>
    </row>
    <row r="5" spans="1:20" ht="15" customHeight="1" x14ac:dyDescent="0.2">
      <c r="A5" s="54" t="s">
        <v>493</v>
      </c>
      <c r="B5" s="55">
        <v>3287154</v>
      </c>
      <c r="C5" s="55">
        <v>2638223</v>
      </c>
      <c r="D5" s="55">
        <v>2015603</v>
      </c>
      <c r="E5" s="55">
        <v>2233482</v>
      </c>
      <c r="F5" s="55">
        <v>1546947</v>
      </c>
      <c r="G5" s="55">
        <v>2395250</v>
      </c>
      <c r="H5" s="55">
        <v>1272232</v>
      </c>
      <c r="I5" s="55">
        <v>567944</v>
      </c>
      <c r="J5" s="55">
        <v>465598</v>
      </c>
      <c r="L5" s="10">
        <f t="shared" ref="L5:T5" si="1">IFERROR(B5/B11,"")</f>
        <v>0.27851655155555688</v>
      </c>
      <c r="M5" s="10">
        <f t="shared" si="1"/>
        <v>0.1599190822075236</v>
      </c>
      <c r="N5" s="10">
        <f t="shared" si="1"/>
        <v>0.15991906945583642</v>
      </c>
      <c r="O5" s="10">
        <f t="shared" si="1"/>
        <v>0.29378063939073074</v>
      </c>
      <c r="P5" s="10">
        <f t="shared" si="1"/>
        <v>0.32759177489883379</v>
      </c>
      <c r="Q5" s="10">
        <f t="shared" si="1"/>
        <v>2.0852068492113167</v>
      </c>
      <c r="R5" s="10">
        <f t="shared" si="1"/>
        <v>1.65532136913831</v>
      </c>
      <c r="S5" s="10">
        <f t="shared" si="1"/>
        <v>0.37599386698832316</v>
      </c>
      <c r="T5" s="10">
        <f t="shared" si="1"/>
        <v>0.36782991269532161</v>
      </c>
    </row>
    <row r="6" spans="1:20" ht="15" customHeight="1" x14ac:dyDescent="0.2">
      <c r="A6" s="54" t="s">
        <v>494</v>
      </c>
      <c r="B6" s="55">
        <v>1766581</v>
      </c>
      <c r="C6" s="55">
        <v>3784210</v>
      </c>
      <c r="D6" s="55">
        <v>2891138</v>
      </c>
      <c r="E6" s="55">
        <v>2169262</v>
      </c>
      <c r="F6" s="55">
        <v>1502467</v>
      </c>
      <c r="G6" s="55">
        <v>1737881</v>
      </c>
      <c r="H6" s="55">
        <v>945816</v>
      </c>
      <c r="I6" s="55">
        <v>526496</v>
      </c>
      <c r="J6" s="55">
        <v>450941</v>
      </c>
      <c r="L6" s="10">
        <f t="shared" ref="L6:T6" si="2">IFERROR(B6/B11,"")</f>
        <v>0.14968025476249888</v>
      </c>
      <c r="M6" s="10">
        <f t="shared" si="2"/>
        <v>0.22938447207856685</v>
      </c>
      <c r="N6" s="10">
        <f t="shared" si="2"/>
        <v>0.22938450608994332</v>
      </c>
      <c r="O6" s="10">
        <f t="shared" si="2"/>
        <v>0.2853334736371349</v>
      </c>
      <c r="P6" s="10">
        <f t="shared" si="2"/>
        <v>0.31817239456615259</v>
      </c>
      <c r="Q6" s="10">
        <f t="shared" si="2"/>
        <v>1.5129282389371517</v>
      </c>
      <c r="R6" s="10">
        <f t="shared" si="2"/>
        <v>1.2306162996001671</v>
      </c>
      <c r="S6" s="10">
        <f t="shared" si="2"/>
        <v>0.34855420075550442</v>
      </c>
      <c r="T6" s="10">
        <f t="shared" si="2"/>
        <v>0.35625064682567587</v>
      </c>
    </row>
    <row r="7" spans="1:20" ht="15" customHeight="1" x14ac:dyDescent="0.2">
      <c r="A7" s="54" t="s">
        <v>495</v>
      </c>
      <c r="B7" s="55">
        <v>-656732</v>
      </c>
      <c r="C7" s="55">
        <v>-1559747</v>
      </c>
      <c r="D7" s="55">
        <v>-1191647</v>
      </c>
      <c r="E7" s="55">
        <v>-1521361</v>
      </c>
      <c r="F7" s="55">
        <v>-1027492</v>
      </c>
      <c r="G7" s="55">
        <v>-842761</v>
      </c>
      <c r="H7" s="55">
        <v>-442115</v>
      </c>
      <c r="I7" s="55">
        <v>-218989</v>
      </c>
      <c r="J7" s="55">
        <v>-142028</v>
      </c>
      <c r="L7" s="10">
        <f t="shared" ref="L7:T7" si="3">IFERROR(B7/B11,"")</f>
        <v>-5.5644101838911102E-2</v>
      </c>
      <c r="M7" s="10">
        <f t="shared" si="3"/>
        <v>-9.4545953361765966E-2</v>
      </c>
      <c r="N7" s="10">
        <f t="shared" si="3"/>
        <v>-9.454593953265554E-2</v>
      </c>
      <c r="O7" s="10">
        <f t="shared" si="3"/>
        <v>-0.20011193612669434</v>
      </c>
      <c r="P7" s="10">
        <f t="shared" si="3"/>
        <v>-0.21758853275151155</v>
      </c>
      <c r="Q7" s="10">
        <f t="shared" si="3"/>
        <v>-0.73367331570741201</v>
      </c>
      <c r="R7" s="10">
        <f t="shared" si="3"/>
        <v>-0.57524288582317051</v>
      </c>
      <c r="S7" s="10">
        <f t="shared" si="3"/>
        <v>-0.14497647820543205</v>
      </c>
      <c r="T7" s="10">
        <f t="shared" si="3"/>
        <v>-0.11220440560374215</v>
      </c>
    </row>
    <row r="8" spans="1:20" ht="15" customHeight="1" x14ac:dyDescent="0.2">
      <c r="A8" s="54" t="s">
        <v>496</v>
      </c>
      <c r="B8" s="55">
        <v>5847808</v>
      </c>
      <c r="C8" s="55">
        <v>5684978</v>
      </c>
      <c r="D8" s="55">
        <v>4343324</v>
      </c>
      <c r="E8" s="55">
        <v>3435286</v>
      </c>
      <c r="F8" s="55">
        <v>2393329</v>
      </c>
      <c r="G8" s="55">
        <v>-700260</v>
      </c>
      <c r="H8" s="55">
        <v>-1088836</v>
      </c>
      <c r="I8" s="55">
        <v>448068</v>
      </c>
      <c r="J8" s="55">
        <v>276514</v>
      </c>
      <c r="L8" s="10">
        <f t="shared" ref="L8:T8" si="4">IFERROR(B8/B11,"")</f>
        <v>0.49547764367565317</v>
      </c>
      <c r="M8" s="10">
        <f t="shared" si="4"/>
        <v>0.34460182635431619</v>
      </c>
      <c r="N8" s="10">
        <f t="shared" si="4"/>
        <v>0.34460175561616119</v>
      </c>
      <c r="O8" s="10">
        <f t="shared" si="4"/>
        <v>0.45185970496741223</v>
      </c>
      <c r="P8" s="10">
        <f t="shared" si="4"/>
        <v>0.50682725072471835</v>
      </c>
      <c r="Q8" s="10">
        <f t="shared" si="4"/>
        <v>-0.60961776358572872</v>
      </c>
      <c r="R8" s="10">
        <f t="shared" si="4"/>
        <v>-1.4167019052241108</v>
      </c>
      <c r="S8" s="10">
        <f t="shared" si="4"/>
        <v>0.29663280181448171</v>
      </c>
      <c r="T8" s="10">
        <f t="shared" si="4"/>
        <v>0.21845050983688538</v>
      </c>
    </row>
    <row r="9" spans="1:20" ht="15" customHeight="1" x14ac:dyDescent="0.2">
      <c r="A9" s="54" t="s">
        <v>497</v>
      </c>
      <c r="B9" s="55">
        <v>-288414</v>
      </c>
      <c r="C9" s="55">
        <v>2984782</v>
      </c>
      <c r="D9" s="55">
        <v>2280374</v>
      </c>
      <c r="E9" s="55">
        <v>-6636680</v>
      </c>
      <c r="F9" s="55">
        <v>-5166552</v>
      </c>
      <c r="G9" s="55">
        <v>-6619583</v>
      </c>
      <c r="H9" s="55">
        <v>-3703631</v>
      </c>
      <c r="I9" s="55">
        <v>-1510581</v>
      </c>
      <c r="J9" s="55">
        <v>-308044</v>
      </c>
      <c r="L9" s="10">
        <f t="shared" ref="L9:T9" si="5">IFERROR(B9/B11,"")</f>
        <v>-2.4436966658801011E-2</v>
      </c>
      <c r="M9" s="10">
        <f t="shared" si="5"/>
        <v>0.1809261756983912</v>
      </c>
      <c r="N9" s="10">
        <f t="shared" si="5"/>
        <v>0.18092614869658535</v>
      </c>
      <c r="O9" s="10">
        <f t="shared" si="5"/>
        <v>-0.87295446922414188</v>
      </c>
      <c r="P9" s="10">
        <f t="shared" si="5"/>
        <v>-1.094103378969751</v>
      </c>
      <c r="Q9" s="10">
        <f t="shared" si="5"/>
        <v>-5.7627386746781326</v>
      </c>
      <c r="R9" s="10">
        <f t="shared" si="5"/>
        <v>-4.8188534305874144</v>
      </c>
      <c r="S9" s="10">
        <f t="shared" si="5"/>
        <v>-1.0000443557623431</v>
      </c>
      <c r="T9" s="10">
        <f t="shared" si="5"/>
        <v>-0.24335971723744013</v>
      </c>
    </row>
    <row r="10" spans="1:20" ht="15" customHeight="1" x14ac:dyDescent="0.2">
      <c r="A10" s="54" t="s">
        <v>498</v>
      </c>
      <c r="B10" s="55">
        <v>-2504572</v>
      </c>
      <c r="C10" s="55">
        <v>-894287</v>
      </c>
      <c r="D10" s="55">
        <v>-683235</v>
      </c>
      <c r="E10" s="55">
        <v>-893056</v>
      </c>
      <c r="F10" s="55">
        <v>-632364</v>
      </c>
      <c r="G10" s="55">
        <v>-1098469</v>
      </c>
      <c r="H10" s="55">
        <v>-1099947</v>
      </c>
      <c r="I10" s="55">
        <v>-137511</v>
      </c>
      <c r="J10" s="55">
        <v>-35189</v>
      </c>
      <c r="L10" s="10">
        <f t="shared" ref="L10:T10" si="6">IFERROR(B10/B11,"")</f>
        <v>-0.21220933262104671</v>
      </c>
      <c r="M10" s="10">
        <f t="shared" si="6"/>
        <v>-5.4208289545697862E-2</v>
      </c>
      <c r="N10" s="10">
        <f t="shared" si="6"/>
        <v>-5.4208247070310175E-2</v>
      </c>
      <c r="O10" s="10">
        <f t="shared" si="6"/>
        <v>-0.11746795483094488</v>
      </c>
      <c r="P10" s="10">
        <f t="shared" si="6"/>
        <v>-0.13391360217391166</v>
      </c>
      <c r="Q10" s="10">
        <f t="shared" si="6"/>
        <v>-0.95628225965820102</v>
      </c>
      <c r="R10" s="10">
        <f t="shared" si="6"/>
        <v>-1.4311586047352816</v>
      </c>
      <c r="S10" s="10">
        <f t="shared" si="6"/>
        <v>-9.1035899038340598E-2</v>
      </c>
      <c r="T10" s="10">
        <f t="shared" si="6"/>
        <v>-2.7799876283479893E-2</v>
      </c>
    </row>
    <row r="11" spans="1:20" ht="15" customHeight="1" x14ac:dyDescent="0.2">
      <c r="A11" s="68" t="s">
        <v>499</v>
      </c>
      <c r="B11" s="69">
        <f t="shared" ref="B11:J11" si="7">SUM(B4:B10)</f>
        <v>11802365</v>
      </c>
      <c r="C11" s="69">
        <f t="shared" si="7"/>
        <v>16497237</v>
      </c>
      <c r="D11" s="69">
        <f t="shared" si="7"/>
        <v>12603894</v>
      </c>
      <c r="E11" s="69">
        <f t="shared" si="7"/>
        <v>7602550</v>
      </c>
      <c r="F11" s="69">
        <f t="shared" si="7"/>
        <v>4722179</v>
      </c>
      <c r="G11" s="69">
        <f t="shared" si="7"/>
        <v>1148687</v>
      </c>
      <c r="H11" s="69">
        <f t="shared" si="7"/>
        <v>768571</v>
      </c>
      <c r="I11" s="69">
        <f t="shared" si="7"/>
        <v>1510514</v>
      </c>
      <c r="J11" s="69">
        <f t="shared" si="7"/>
        <v>1265797</v>
      </c>
      <c r="L11" s="37">
        <f t="shared" ref="L11:T11" si="8">IFERROR(B11/B11,"")</f>
        <v>1</v>
      </c>
      <c r="M11" s="37">
        <f t="shared" si="8"/>
        <v>1</v>
      </c>
      <c r="N11" s="37">
        <f t="shared" si="8"/>
        <v>1</v>
      </c>
      <c r="O11" s="37">
        <f t="shared" si="8"/>
        <v>1</v>
      </c>
      <c r="P11" s="37">
        <f t="shared" si="8"/>
        <v>1</v>
      </c>
      <c r="Q11" s="37">
        <f t="shared" si="8"/>
        <v>1</v>
      </c>
      <c r="R11" s="37">
        <f t="shared" si="8"/>
        <v>1</v>
      </c>
      <c r="S11" s="37">
        <f t="shared" si="8"/>
        <v>1</v>
      </c>
      <c r="T11" s="37">
        <f t="shared" si="8"/>
        <v>1</v>
      </c>
    </row>
    <row r="12" spans="1:20" ht="15" customHeight="1" x14ac:dyDescent="0.2">
      <c r="A12" s="54"/>
      <c r="B12" s="65"/>
      <c r="C12" s="65"/>
      <c r="D12" s="65"/>
      <c r="E12" s="65"/>
      <c r="F12" s="65"/>
      <c r="G12" s="65"/>
      <c r="H12" s="65"/>
      <c r="I12" s="65"/>
      <c r="J12" s="65"/>
    </row>
    <row r="13" spans="1:20" ht="15.75" customHeight="1" x14ac:dyDescent="0.2">
      <c r="A13" s="53" t="s">
        <v>355</v>
      </c>
      <c r="B13" s="53"/>
      <c r="C13" s="53"/>
      <c r="D13" s="53"/>
      <c r="E13" s="53"/>
      <c r="F13" s="53"/>
      <c r="G13" s="53"/>
      <c r="H13" s="53"/>
      <c r="I13" s="53"/>
      <c r="J13" s="53"/>
    </row>
    <row r="14" spans="1:20" ht="15" customHeight="1" x14ac:dyDescent="0.2">
      <c r="A14" s="54" t="s">
        <v>500</v>
      </c>
      <c r="B14" s="55">
        <v>-17682685</v>
      </c>
      <c r="C14" s="55">
        <v>-23907174</v>
      </c>
      <c r="D14" s="55">
        <v>-18265088</v>
      </c>
      <c r="E14" s="55">
        <v>-2647473</v>
      </c>
      <c r="F14" s="55">
        <v>-1833684</v>
      </c>
      <c r="G14" s="55">
        <v>-3207630</v>
      </c>
      <c r="H14" s="55">
        <v>-1783466</v>
      </c>
      <c r="I14" s="55">
        <v>-2715881</v>
      </c>
      <c r="J14" s="55">
        <v>-254327</v>
      </c>
      <c r="L14" s="10">
        <f t="shared" ref="L14:T14" si="9">IFERROR(B14/B11,"")</f>
        <v>-1.4982323458052687</v>
      </c>
      <c r="M14" s="10">
        <f t="shared" si="9"/>
        <v>-1.4491623051787399</v>
      </c>
      <c r="N14" s="10">
        <f t="shared" si="9"/>
        <v>-1.4491622985721715</v>
      </c>
      <c r="O14" s="10">
        <f t="shared" si="9"/>
        <v>-0.34823486856383712</v>
      </c>
      <c r="P14" s="10">
        <f t="shared" si="9"/>
        <v>-0.38831310714820427</v>
      </c>
      <c r="Q14" s="10">
        <f t="shared" si="9"/>
        <v>-2.7924317068096007</v>
      </c>
      <c r="R14" s="10">
        <f t="shared" si="9"/>
        <v>-2.3204960894959608</v>
      </c>
      <c r="S14" s="10">
        <f t="shared" si="9"/>
        <v>-1.7979846595264923</v>
      </c>
      <c r="T14" s="10">
        <f t="shared" si="9"/>
        <v>-0.20092242278975223</v>
      </c>
    </row>
    <row r="15" spans="1:20" ht="15" customHeight="1" x14ac:dyDescent="0.2">
      <c r="A15" s="54" t="s">
        <v>501</v>
      </c>
      <c r="B15" s="55">
        <v>-635353</v>
      </c>
      <c r="C15" s="55">
        <v>-361765</v>
      </c>
      <c r="D15" s="55">
        <v>-276389</v>
      </c>
      <c r="E15" s="55">
        <v>-92983</v>
      </c>
      <c r="F15" s="55">
        <v>-64402</v>
      </c>
      <c r="G15" s="55">
        <v>-147941</v>
      </c>
      <c r="H15" s="55">
        <v>-66419</v>
      </c>
      <c r="I15" s="55">
        <v>-33342</v>
      </c>
      <c r="J15" s="55">
        <v>-739</v>
      </c>
      <c r="L15" s="10">
        <f t="shared" ref="L15:T15" si="10">IFERROR(B15/B11,"")</f>
        <v>-5.3832685228765588E-2</v>
      </c>
      <c r="M15" s="10">
        <f t="shared" si="10"/>
        <v>-2.1928823596339193E-2</v>
      </c>
      <c r="N15" s="10">
        <f t="shared" si="10"/>
        <v>-2.1928857859325062E-2</v>
      </c>
      <c r="O15" s="10">
        <f t="shared" si="10"/>
        <v>-1.2230501608013101E-2</v>
      </c>
      <c r="P15" s="10">
        <f t="shared" si="10"/>
        <v>-1.3638195417835708E-2</v>
      </c>
      <c r="Q15" s="10">
        <f t="shared" si="10"/>
        <v>-0.12879139400028031</v>
      </c>
      <c r="R15" s="10">
        <f t="shared" si="10"/>
        <v>-8.6418821423134617E-2</v>
      </c>
      <c r="S15" s="10">
        <f t="shared" si="10"/>
        <v>-2.2073281015601312E-2</v>
      </c>
      <c r="T15" s="10">
        <f t="shared" si="10"/>
        <v>-5.8382189245194925E-4</v>
      </c>
    </row>
    <row r="16" spans="1:20" ht="15" customHeight="1" x14ac:dyDescent="0.2">
      <c r="A16" s="54" t="s">
        <v>502</v>
      </c>
      <c r="B16" s="55">
        <v>253326</v>
      </c>
      <c r="C16" s="55">
        <v>7072</v>
      </c>
      <c r="D16" s="55">
        <v>5403</v>
      </c>
      <c r="E16" s="55">
        <v>110661</v>
      </c>
      <c r="F16" s="55">
        <v>76471</v>
      </c>
      <c r="G16" s="55">
        <v>112</v>
      </c>
      <c r="H16" s="55">
        <v>0</v>
      </c>
      <c r="I16" s="55">
        <v>2128</v>
      </c>
      <c r="J16" s="55">
        <v>-19228</v>
      </c>
      <c r="L16" s="10">
        <f t="shared" ref="L16:T16" si="11">IFERROR(B16/B11,"")</f>
        <v>2.1464003189191318E-2</v>
      </c>
      <c r="M16" s="10">
        <f t="shared" si="11"/>
        <v>4.2867784465968451E-4</v>
      </c>
      <c r="N16" s="10">
        <f t="shared" si="11"/>
        <v>4.2867704219029453E-4</v>
      </c>
      <c r="O16" s="10">
        <f t="shared" si="11"/>
        <v>1.455577404949655E-2</v>
      </c>
      <c r="P16" s="10">
        <f t="shared" si="11"/>
        <v>1.6194007046323317E-2</v>
      </c>
      <c r="Q16" s="10">
        <f t="shared" si="11"/>
        <v>9.7502626912292033E-5</v>
      </c>
      <c r="R16" s="10">
        <f t="shared" si="11"/>
        <v>0</v>
      </c>
      <c r="S16" s="10">
        <f t="shared" si="11"/>
        <v>1.4087919741227158E-3</v>
      </c>
      <c r="T16" s="10">
        <f t="shared" si="11"/>
        <v>-1.519042942904747E-2</v>
      </c>
    </row>
    <row r="17" spans="1:20" ht="15" customHeight="1" x14ac:dyDescent="0.2">
      <c r="A17" s="54" t="s">
        <v>503</v>
      </c>
      <c r="B17" s="55">
        <v>-3037951</v>
      </c>
      <c r="C17" s="55">
        <v>-92446</v>
      </c>
      <c r="D17" s="55">
        <v>-70628</v>
      </c>
      <c r="E17" s="55">
        <v>-3462625</v>
      </c>
      <c r="F17" s="55">
        <v>-1828395</v>
      </c>
      <c r="G17" s="55">
        <v>0</v>
      </c>
      <c r="H17" s="55">
        <v>0</v>
      </c>
      <c r="I17" s="55">
        <v>0</v>
      </c>
      <c r="J17" s="55">
        <v>0</v>
      </c>
      <c r="L17" s="10">
        <f t="shared" ref="L17:T17" si="12">IFERROR(B17/B11,"")</f>
        <v>-0.25740188513064965</v>
      </c>
      <c r="M17" s="10">
        <f t="shared" si="12"/>
        <v>-5.6037262482196261E-3</v>
      </c>
      <c r="N17" s="10">
        <f t="shared" si="12"/>
        <v>-5.6036650260625808E-3</v>
      </c>
      <c r="O17" s="10">
        <f t="shared" si="12"/>
        <v>-0.45545573524672645</v>
      </c>
      <c r="P17" s="10">
        <f t="shared" si="12"/>
        <v>-0.38719307336718917</v>
      </c>
      <c r="Q17" s="10">
        <f t="shared" si="12"/>
        <v>0</v>
      </c>
      <c r="R17" s="10">
        <f t="shared" si="12"/>
        <v>0</v>
      </c>
      <c r="S17" s="10">
        <f t="shared" si="12"/>
        <v>0</v>
      </c>
      <c r="T17" s="10">
        <f t="shared" si="12"/>
        <v>0</v>
      </c>
    </row>
    <row r="18" spans="1:20" ht="15" customHeight="1" x14ac:dyDescent="0.2">
      <c r="A18" s="68" t="s">
        <v>504</v>
      </c>
      <c r="B18" s="69">
        <f t="shared" ref="B18:J18" si="13">SUM(B14:B17)</f>
        <v>-21102663</v>
      </c>
      <c r="C18" s="69">
        <f t="shared" si="13"/>
        <v>-24354313</v>
      </c>
      <c r="D18" s="69">
        <f t="shared" si="13"/>
        <v>-18606702</v>
      </c>
      <c r="E18" s="69">
        <f t="shared" si="13"/>
        <v>-6092420</v>
      </c>
      <c r="F18" s="69">
        <f t="shared" si="13"/>
        <v>-3650010</v>
      </c>
      <c r="G18" s="69">
        <f t="shared" si="13"/>
        <v>-3355459</v>
      </c>
      <c r="H18" s="69">
        <f t="shared" si="13"/>
        <v>-1849885</v>
      </c>
      <c r="I18" s="69">
        <f t="shared" si="13"/>
        <v>-2747095</v>
      </c>
      <c r="J18" s="69">
        <f t="shared" si="13"/>
        <v>-274294</v>
      </c>
      <c r="L18" s="37">
        <f t="shared" ref="L18:T18" si="14">IFERROR(B18/B11,"")</f>
        <v>-1.7880029129754926</v>
      </c>
      <c r="M18" s="37">
        <f t="shared" si="14"/>
        <v>-1.4762661771786392</v>
      </c>
      <c r="N18" s="37">
        <f t="shared" si="14"/>
        <v>-1.4762661444153689</v>
      </c>
      <c r="O18" s="37">
        <f t="shared" si="14"/>
        <v>-0.80136533136908006</v>
      </c>
      <c r="P18" s="37">
        <f t="shared" si="14"/>
        <v>-0.77295036888690583</v>
      </c>
      <c r="Q18" s="37">
        <f t="shared" si="14"/>
        <v>-2.9211255981829689</v>
      </c>
      <c r="R18" s="37">
        <f t="shared" si="14"/>
        <v>-2.4069149109190953</v>
      </c>
      <c r="S18" s="37">
        <f t="shared" si="14"/>
        <v>-1.818649148567971</v>
      </c>
      <c r="T18" s="37">
        <f t="shared" si="14"/>
        <v>-0.21669667411125165</v>
      </c>
    </row>
    <row r="19" spans="1:20" ht="15" customHeight="1" x14ac:dyDescent="0.2">
      <c r="A19" s="54"/>
      <c r="B19" s="65"/>
      <c r="C19" s="65"/>
      <c r="D19" s="65"/>
      <c r="E19" s="65"/>
      <c r="F19" s="65"/>
      <c r="G19" s="65"/>
      <c r="H19" s="65"/>
      <c r="I19" s="65"/>
      <c r="J19" s="65"/>
    </row>
    <row r="20" spans="1:20" ht="15.75" customHeight="1" x14ac:dyDescent="0.2">
      <c r="A20" s="53" t="s">
        <v>360</v>
      </c>
      <c r="B20" s="53"/>
      <c r="C20" s="53"/>
      <c r="D20" s="53"/>
      <c r="E20" s="53"/>
      <c r="F20" s="53"/>
      <c r="G20" s="53"/>
      <c r="H20" s="53"/>
      <c r="I20" s="53"/>
      <c r="J20" s="53"/>
    </row>
    <row r="21" spans="1:20" ht="15" customHeight="1" x14ac:dyDescent="0.2">
      <c r="A21" s="54" t="s">
        <v>505</v>
      </c>
      <c r="B21" s="55">
        <v>32776598</v>
      </c>
      <c r="C21" s="55">
        <v>30190464</v>
      </c>
      <c r="D21" s="55">
        <v>23065524</v>
      </c>
      <c r="E21" s="55">
        <v>11603853</v>
      </c>
      <c r="F21" s="55">
        <v>8037022</v>
      </c>
      <c r="G21" s="55">
        <v>9225859</v>
      </c>
      <c r="H21" s="55">
        <v>4801676</v>
      </c>
      <c r="I21" s="55">
        <v>5151436</v>
      </c>
      <c r="J21" s="55">
        <v>2875828</v>
      </c>
      <c r="L21" s="10">
        <f t="shared" ref="L21:T21" si="15">IFERROR(B21/B11,"")</f>
        <v>2.7771211956247752</v>
      </c>
      <c r="M21" s="10">
        <f t="shared" si="15"/>
        <v>1.8300315380084555</v>
      </c>
      <c r="N21" s="10">
        <f t="shared" si="15"/>
        <v>1.8300315759558117</v>
      </c>
      <c r="O21" s="10">
        <f t="shared" si="15"/>
        <v>1.5263106457701692</v>
      </c>
      <c r="P21" s="10">
        <f t="shared" si="15"/>
        <v>1.7019731780603826</v>
      </c>
      <c r="Q21" s="10">
        <f t="shared" si="15"/>
        <v>8.0316561430572477</v>
      </c>
      <c r="R21" s="10">
        <f t="shared" si="15"/>
        <v>6.2475373127531482</v>
      </c>
      <c r="S21" s="10">
        <f t="shared" si="15"/>
        <v>3.4103861334618548</v>
      </c>
      <c r="T21" s="10">
        <f t="shared" si="15"/>
        <v>2.2719503996296404</v>
      </c>
    </row>
    <row r="22" spans="1:20" ht="15" customHeight="1" x14ac:dyDescent="0.2">
      <c r="A22" s="54" t="s">
        <v>506</v>
      </c>
      <c r="B22" s="55">
        <v>-16671202</v>
      </c>
      <c r="C22" s="55">
        <v>-17388054</v>
      </c>
      <c r="D22" s="55">
        <v>-13284479</v>
      </c>
      <c r="E22" s="55">
        <v>-10376152</v>
      </c>
      <c r="F22" s="55">
        <v>-7186696</v>
      </c>
      <c r="G22" s="55">
        <v>-4238165</v>
      </c>
      <c r="H22" s="55">
        <v>-2193920</v>
      </c>
      <c r="I22" s="55">
        <v>-2802386</v>
      </c>
      <c r="J22" s="55">
        <v>-3326660</v>
      </c>
      <c r="L22" s="10">
        <f t="shared" ref="L22:T22" si="16">IFERROR(B22/B11,"")</f>
        <v>-1.412530624158802</v>
      </c>
      <c r="M22" s="10">
        <f t="shared" si="16"/>
        <v>-1.0539979512932984</v>
      </c>
      <c r="N22" s="10">
        <f t="shared" si="16"/>
        <v>-1.0539979945880218</v>
      </c>
      <c r="O22" s="10">
        <f t="shared" si="16"/>
        <v>-1.3648252231159281</v>
      </c>
      <c r="P22" s="10">
        <f t="shared" si="16"/>
        <v>-1.5219024945898916</v>
      </c>
      <c r="Q22" s="10">
        <f t="shared" si="16"/>
        <v>-3.6895733998904836</v>
      </c>
      <c r="R22" s="10">
        <f t="shared" si="16"/>
        <v>-2.8545443426827188</v>
      </c>
      <c r="S22" s="10">
        <f t="shared" si="16"/>
        <v>-1.8552532449219272</v>
      </c>
      <c r="T22" s="10">
        <f t="shared" si="16"/>
        <v>-2.62811493470122</v>
      </c>
    </row>
    <row r="23" spans="1:20" ht="15" customHeight="1" x14ac:dyDescent="0.2">
      <c r="A23" s="54" t="s">
        <v>507</v>
      </c>
      <c r="B23" s="55">
        <v>-235079</v>
      </c>
      <c r="C23" s="55">
        <v>-329456</v>
      </c>
      <c r="D23" s="55">
        <v>-251704</v>
      </c>
      <c r="E23" s="55">
        <v>-228695</v>
      </c>
      <c r="F23" s="55">
        <v>-158398</v>
      </c>
      <c r="G23" s="55">
        <v>-85532</v>
      </c>
      <c r="H23" s="55">
        <v>-56385</v>
      </c>
      <c r="I23" s="55">
        <v>-6492</v>
      </c>
      <c r="J23" s="55">
        <v>-11480</v>
      </c>
      <c r="L23" s="10">
        <f t="shared" ref="L23:T23" si="17">IFERROR(B23/B11,"")</f>
        <v>-1.9917957121305771E-2</v>
      </c>
      <c r="M23" s="10">
        <f t="shared" si="17"/>
        <v>-1.9970374433003538E-2</v>
      </c>
      <c r="N23" s="10">
        <f t="shared" si="17"/>
        <v>-1.9970336151668683E-2</v>
      </c>
      <c r="O23" s="10">
        <f t="shared" si="17"/>
        <v>-3.0081354282444708E-2</v>
      </c>
      <c r="P23" s="10">
        <f t="shared" si="17"/>
        <v>-3.3543412903238104E-2</v>
      </c>
      <c r="Q23" s="10">
        <f t="shared" si="17"/>
        <v>-7.4460666830912167E-2</v>
      </c>
      <c r="R23" s="10">
        <f t="shared" si="17"/>
        <v>-7.3363423808600642E-2</v>
      </c>
      <c r="S23" s="10">
        <f t="shared" si="17"/>
        <v>-4.2978747631600899E-3</v>
      </c>
      <c r="T23" s="10">
        <f t="shared" si="17"/>
        <v>-9.0693847433672217E-3</v>
      </c>
    </row>
    <row r="24" spans="1:20" ht="15" customHeight="1" x14ac:dyDescent="0.2">
      <c r="A24" s="54" t="s">
        <v>508</v>
      </c>
      <c r="B24" s="55">
        <v>-1753931</v>
      </c>
      <c r="C24" s="55">
        <v>-3414910</v>
      </c>
      <c r="D24" s="55">
        <v>-2608993</v>
      </c>
      <c r="E24" s="55">
        <v>-2114590</v>
      </c>
      <c r="F24" s="55">
        <v>-1464601</v>
      </c>
      <c r="G24" s="55">
        <v>-1550992</v>
      </c>
      <c r="H24" s="55">
        <v>-795820</v>
      </c>
      <c r="I24" s="55">
        <v>-521233</v>
      </c>
      <c r="J24" s="55">
        <v>-475384</v>
      </c>
      <c r="L24" s="10">
        <f t="shared" ref="L24:T24" si="18">IFERROR(B24/B11,"")</f>
        <v>-0.14860843568217047</v>
      </c>
      <c r="M24" s="10">
        <f t="shared" si="18"/>
        <v>-0.20699890533184437</v>
      </c>
      <c r="N24" s="10">
        <f t="shared" si="18"/>
        <v>-0.20699896397097595</v>
      </c>
      <c r="O24" s="10">
        <f t="shared" si="18"/>
        <v>-0.27814220228739039</v>
      </c>
      <c r="P24" s="10">
        <f t="shared" si="18"/>
        <v>-0.31015363881801178</v>
      </c>
      <c r="Q24" s="10">
        <f t="shared" si="18"/>
        <v>-1.3502303064281218</v>
      </c>
      <c r="R24" s="10">
        <f t="shared" si="18"/>
        <v>-1.0354541089892801</v>
      </c>
      <c r="S24" s="10">
        <f t="shared" si="18"/>
        <v>-0.34506995631950449</v>
      </c>
      <c r="T24" s="10">
        <f t="shared" si="18"/>
        <v>-0.37556101017777732</v>
      </c>
    </row>
    <row r="25" spans="1:20" ht="15" customHeight="1" x14ac:dyDescent="0.2">
      <c r="A25" s="54" t="s">
        <v>509</v>
      </c>
      <c r="B25" s="55">
        <v>656732</v>
      </c>
      <c r="C25" s="55">
        <v>1559747</v>
      </c>
      <c r="D25" s="55">
        <v>1191647</v>
      </c>
      <c r="E25" s="55">
        <v>1521361</v>
      </c>
      <c r="F25" s="55">
        <v>1027492</v>
      </c>
      <c r="G25" s="55">
        <v>842761</v>
      </c>
      <c r="H25" s="55">
        <v>442115</v>
      </c>
      <c r="I25" s="55">
        <v>218989</v>
      </c>
      <c r="J25" s="55">
        <v>142028</v>
      </c>
      <c r="L25" s="10">
        <f t="shared" ref="L25:T25" si="19">IFERROR(B25/B11,"")</f>
        <v>5.5644101838911102E-2</v>
      </c>
      <c r="M25" s="10">
        <f t="shared" si="19"/>
        <v>9.4545953361765966E-2</v>
      </c>
      <c r="N25" s="10">
        <f t="shared" si="19"/>
        <v>9.454593953265554E-2</v>
      </c>
      <c r="O25" s="10">
        <f t="shared" si="19"/>
        <v>0.20011193612669434</v>
      </c>
      <c r="P25" s="10">
        <f t="shared" si="19"/>
        <v>0.21758853275151155</v>
      </c>
      <c r="Q25" s="10">
        <f t="shared" si="19"/>
        <v>0.73367331570741201</v>
      </c>
      <c r="R25" s="10">
        <f t="shared" si="19"/>
        <v>0.57524288582317051</v>
      </c>
      <c r="S25" s="10">
        <f t="shared" si="19"/>
        <v>0.14497647820543205</v>
      </c>
      <c r="T25" s="10">
        <f t="shared" si="19"/>
        <v>0.11220440560374215</v>
      </c>
    </row>
    <row r="26" spans="1:20" ht="15" customHeight="1" x14ac:dyDescent="0.2">
      <c r="A26" s="54" t="s">
        <v>510</v>
      </c>
      <c r="B26" s="55">
        <v>0</v>
      </c>
      <c r="C26" s="55">
        <v>-2421562</v>
      </c>
      <c r="D26" s="55">
        <v>-1850074</v>
      </c>
      <c r="E26" s="55">
        <v>-2126091</v>
      </c>
      <c r="F26" s="55">
        <v>-1472567</v>
      </c>
      <c r="G26" s="55">
        <v>-1300167</v>
      </c>
      <c r="H26" s="55">
        <v>-699978</v>
      </c>
      <c r="I26" s="55">
        <v>-592983</v>
      </c>
      <c r="J26" s="55">
        <v>0</v>
      </c>
      <c r="L26" s="10">
        <f t="shared" ref="L26:T26" si="20">IFERROR(B26/B11,"")</f>
        <v>0</v>
      </c>
      <c r="M26" s="10">
        <f t="shared" si="20"/>
        <v>-0.14678591330172441</v>
      </c>
      <c r="N26" s="10">
        <f t="shared" si="20"/>
        <v>-0.14678590600650879</v>
      </c>
      <c r="O26" s="10">
        <f t="shared" si="20"/>
        <v>-0.2796549841829386</v>
      </c>
      <c r="P26" s="10">
        <f t="shared" si="20"/>
        <v>-0.31184057190546993</v>
      </c>
      <c r="Q26" s="10">
        <f t="shared" si="20"/>
        <v>-1.1318723028988751</v>
      </c>
      <c r="R26" s="10">
        <f t="shared" si="20"/>
        <v>-0.91075255246424858</v>
      </c>
      <c r="S26" s="10">
        <f t="shared" si="20"/>
        <v>-0.39257034360489212</v>
      </c>
      <c r="T26" s="10">
        <f t="shared" si="20"/>
        <v>0</v>
      </c>
    </row>
    <row r="27" spans="1:20" ht="15" customHeight="1" x14ac:dyDescent="0.2">
      <c r="A27" s="68" t="s">
        <v>511</v>
      </c>
      <c r="B27" s="69">
        <f t="shared" ref="B27:J27" si="21">SUM(B21:B26)</f>
        <v>14773118</v>
      </c>
      <c r="C27" s="69">
        <f t="shared" si="21"/>
        <v>8196229</v>
      </c>
      <c r="D27" s="69">
        <f t="shared" si="21"/>
        <v>6261921</v>
      </c>
      <c r="E27" s="69">
        <f t="shared" si="21"/>
        <v>-1720314</v>
      </c>
      <c r="F27" s="69">
        <f t="shared" si="21"/>
        <v>-1217748</v>
      </c>
      <c r="G27" s="69">
        <f t="shared" si="21"/>
        <v>2893764</v>
      </c>
      <c r="H27" s="69">
        <f t="shared" si="21"/>
        <v>1497688</v>
      </c>
      <c r="I27" s="69">
        <f t="shared" si="21"/>
        <v>1447331</v>
      </c>
      <c r="J27" s="69">
        <f t="shared" si="21"/>
        <v>-795668</v>
      </c>
      <c r="L27" s="37">
        <f t="shared" ref="L27:T27" si="22">IFERROR(B27/B11,"")</f>
        <v>1.2517082805014079</v>
      </c>
      <c r="M27" s="37">
        <f t="shared" si="22"/>
        <v>0.49682434701035089</v>
      </c>
      <c r="N27" s="37">
        <f t="shared" si="22"/>
        <v>0.49682431477129213</v>
      </c>
      <c r="O27" s="37">
        <f t="shared" si="22"/>
        <v>-0.22628118197183839</v>
      </c>
      <c r="P27" s="37">
        <f t="shared" si="22"/>
        <v>-0.25787840740471718</v>
      </c>
      <c r="Q27" s="37">
        <f t="shared" si="22"/>
        <v>2.5191927827162663</v>
      </c>
      <c r="R27" s="37">
        <f t="shared" si="22"/>
        <v>1.9486657706314705</v>
      </c>
      <c r="S27" s="37">
        <f t="shared" si="22"/>
        <v>0.95817119205780288</v>
      </c>
      <c r="T27" s="37">
        <f t="shared" si="22"/>
        <v>-0.62859052438898178</v>
      </c>
    </row>
    <row r="28" spans="1:20" ht="15" customHeight="1" x14ac:dyDescent="0.2">
      <c r="A28" s="54"/>
      <c r="B28" s="65"/>
      <c r="C28" s="65"/>
      <c r="D28" s="65"/>
      <c r="E28" s="65"/>
      <c r="F28" s="65"/>
      <c r="G28" s="65"/>
      <c r="H28" s="65"/>
      <c r="I28" s="65"/>
      <c r="J28" s="65"/>
    </row>
    <row r="29" spans="1:20" ht="15" customHeight="1" x14ac:dyDescent="0.2">
      <c r="A29" s="68" t="s">
        <v>512</v>
      </c>
      <c r="B29" s="69">
        <f t="shared" ref="B29:J29" si="23">B11+B18+B27</f>
        <v>5472820</v>
      </c>
      <c r="C29" s="69">
        <f t="shared" si="23"/>
        <v>339153</v>
      </c>
      <c r="D29" s="69">
        <f t="shared" si="23"/>
        <v>259113</v>
      </c>
      <c r="E29" s="69">
        <f t="shared" si="23"/>
        <v>-210184</v>
      </c>
      <c r="F29" s="69">
        <f t="shared" si="23"/>
        <v>-145579</v>
      </c>
      <c r="G29" s="69">
        <f t="shared" si="23"/>
        <v>686992</v>
      </c>
      <c r="H29" s="69">
        <f t="shared" si="23"/>
        <v>416374</v>
      </c>
      <c r="I29" s="69">
        <f t="shared" si="23"/>
        <v>210750</v>
      </c>
      <c r="J29" s="69">
        <f t="shared" si="23"/>
        <v>195835</v>
      </c>
      <c r="L29" s="37">
        <f t="shared" ref="L29:T29" si="24">IFERROR(B29/B11,"")</f>
        <v>0.46370536752591535</v>
      </c>
      <c r="M29" s="37">
        <f t="shared" si="24"/>
        <v>2.0558169831711819E-2</v>
      </c>
      <c r="N29" s="37">
        <f t="shared" si="24"/>
        <v>2.0558170355923337E-2</v>
      </c>
      <c r="O29" s="37">
        <f t="shared" si="24"/>
        <v>-2.7646513340918506E-2</v>
      </c>
      <c r="P29" s="37">
        <f t="shared" si="24"/>
        <v>-3.0828776291622999E-2</v>
      </c>
      <c r="Q29" s="37">
        <f t="shared" si="24"/>
        <v>0.59806718453329755</v>
      </c>
      <c r="R29" s="37">
        <f t="shared" si="24"/>
        <v>0.54175085971237535</v>
      </c>
      <c r="S29" s="37">
        <f t="shared" si="24"/>
        <v>0.13952204348983194</v>
      </c>
      <c r="T29" s="37">
        <f t="shared" si="24"/>
        <v>0.15471280149976654</v>
      </c>
    </row>
    <row r="30" spans="1:20" ht="15" customHeight="1" x14ac:dyDescent="0.2">
      <c r="A30" s="54" t="s">
        <v>513</v>
      </c>
      <c r="B30" s="55">
        <v>-326815</v>
      </c>
      <c r="C30" s="55">
        <v>-464063</v>
      </c>
      <c r="D30" s="55">
        <v>-354544</v>
      </c>
      <c r="E30" s="55">
        <v>-880575</v>
      </c>
      <c r="F30" s="55">
        <v>-607118</v>
      </c>
      <c r="G30" s="55">
        <v>-555647</v>
      </c>
      <c r="H30" s="55">
        <v>0</v>
      </c>
      <c r="I30" s="55">
        <v>0</v>
      </c>
      <c r="J30" s="55">
        <v>0</v>
      </c>
      <c r="L30" s="10">
        <f t="shared" ref="L30:T30" si="25">IFERROR(B30/B11,"")</f>
        <v>-2.7690636580041374E-2</v>
      </c>
      <c r="M30" s="10">
        <f t="shared" si="25"/>
        <v>-2.812974075598235E-2</v>
      </c>
      <c r="N30" s="10">
        <f t="shared" si="25"/>
        <v>-2.8129719275646083E-2</v>
      </c>
      <c r="O30" s="10">
        <f t="shared" si="25"/>
        <v>-0.11582626881769932</v>
      </c>
      <c r="P30" s="10">
        <f t="shared" si="25"/>
        <v>-0.12856734147519608</v>
      </c>
      <c r="Q30" s="10">
        <f t="shared" si="25"/>
        <v>-0.48372359049941366</v>
      </c>
      <c r="R30" s="10">
        <f t="shared" si="25"/>
        <v>0</v>
      </c>
      <c r="S30" s="10">
        <f t="shared" si="25"/>
        <v>0</v>
      </c>
      <c r="T30" s="10">
        <f t="shared" si="25"/>
        <v>0</v>
      </c>
    </row>
    <row r="31" spans="1:20" ht="15" customHeight="1" x14ac:dyDescent="0.2">
      <c r="A31" s="54" t="s">
        <v>514</v>
      </c>
      <c r="B31" s="55">
        <v>1384811</v>
      </c>
      <c r="C31" s="55">
        <v>1509720</v>
      </c>
      <c r="D31" s="55">
        <v>1153427</v>
      </c>
      <c r="E31" s="55">
        <v>2244186</v>
      </c>
      <c r="F31" s="55">
        <v>1554361</v>
      </c>
      <c r="G31" s="55">
        <v>1423017</v>
      </c>
      <c r="H31" s="55">
        <v>527522</v>
      </c>
      <c r="I31" s="55">
        <v>316772</v>
      </c>
      <c r="J31" s="55">
        <v>121631</v>
      </c>
      <c r="L31" s="10">
        <f t="shared" ref="L31:T31" si="26">IFERROR(B31/B11,"")</f>
        <v>0.11733334801965538</v>
      </c>
      <c r="M31" s="10">
        <f t="shared" si="26"/>
        <v>9.1513506170760595E-2</v>
      </c>
      <c r="N31" s="10">
        <f t="shared" si="26"/>
        <v>9.1513543354141191E-2</v>
      </c>
      <c r="O31" s="10">
        <f t="shared" si="26"/>
        <v>0.29518858803953935</v>
      </c>
      <c r="P31" s="10">
        <f t="shared" si="26"/>
        <v>0.3291618127987101</v>
      </c>
      <c r="Q31" s="10">
        <f t="shared" si="26"/>
        <v>1.2388204967932952</v>
      </c>
      <c r="R31" s="10">
        <f t="shared" si="26"/>
        <v>0.68636729723083489</v>
      </c>
      <c r="S31" s="10">
        <f t="shared" si="26"/>
        <v>0.20971139625319593</v>
      </c>
      <c r="T31" s="10">
        <f t="shared" si="26"/>
        <v>9.6090447362412776E-2</v>
      </c>
    </row>
    <row r="32" spans="1:20" ht="15" customHeight="1" x14ac:dyDescent="0.2">
      <c r="A32" s="68" t="s">
        <v>142</v>
      </c>
      <c r="B32" s="69">
        <f t="shared" ref="B32:J32" si="27">B29+B30+B31</f>
        <v>6530816</v>
      </c>
      <c r="C32" s="69">
        <f t="shared" si="27"/>
        <v>1384810</v>
      </c>
      <c r="D32" s="69">
        <f t="shared" si="27"/>
        <v>1057996</v>
      </c>
      <c r="E32" s="69">
        <f t="shared" si="27"/>
        <v>1153427</v>
      </c>
      <c r="F32" s="69">
        <f t="shared" si="27"/>
        <v>801664</v>
      </c>
      <c r="G32" s="69">
        <f t="shared" si="27"/>
        <v>1554362</v>
      </c>
      <c r="H32" s="69">
        <f t="shared" si="27"/>
        <v>943896</v>
      </c>
      <c r="I32" s="69">
        <f t="shared" si="27"/>
        <v>527522</v>
      </c>
      <c r="J32" s="69">
        <f t="shared" si="27"/>
        <v>317466</v>
      </c>
      <c r="L32" s="37">
        <f t="shared" ref="L32:T32" si="28">IFERROR(B32/B11,"")</f>
        <v>0.5533480789655294</v>
      </c>
      <c r="M32" s="37">
        <f t="shared" si="28"/>
        <v>8.394193524649006E-2</v>
      </c>
      <c r="N32" s="37">
        <f t="shared" si="28"/>
        <v>8.3941994434418438E-2</v>
      </c>
      <c r="O32" s="37">
        <f t="shared" si="28"/>
        <v>0.15171580588092154</v>
      </c>
      <c r="P32" s="37">
        <f t="shared" si="28"/>
        <v>0.16976569503189098</v>
      </c>
      <c r="Q32" s="37">
        <f t="shared" si="28"/>
        <v>1.3531640908271791</v>
      </c>
      <c r="R32" s="37">
        <f t="shared" si="28"/>
        <v>1.2281181569432102</v>
      </c>
      <c r="S32" s="37">
        <f t="shared" si="28"/>
        <v>0.3492334397430279</v>
      </c>
      <c r="T32" s="37">
        <f t="shared" si="28"/>
        <v>0.25080324886217931</v>
      </c>
    </row>
    <row r="35" spans="11:20" ht="21.75" customHeight="1" x14ac:dyDescent="0.2">
      <c r="L35" s="254" t="s">
        <v>314</v>
      </c>
      <c r="M35" s="254"/>
      <c r="N35" s="254"/>
      <c r="O35" s="254"/>
      <c r="P35" s="254"/>
      <c r="Q35" s="254"/>
      <c r="R35" s="254"/>
      <c r="S35" s="254"/>
      <c r="T35" s="254"/>
    </row>
    <row r="36" spans="11:20" ht="15" customHeight="1" x14ac:dyDescent="0.2">
      <c r="L36" s="2" t="s">
        <v>315</v>
      </c>
      <c r="M36" s="2" t="s">
        <v>316</v>
      </c>
      <c r="N36" s="2" t="s">
        <v>317</v>
      </c>
      <c r="O36" s="2" t="s">
        <v>318</v>
      </c>
      <c r="P36" s="2" t="s">
        <v>319</v>
      </c>
    </row>
    <row r="37" spans="11:20" ht="15" customHeight="1" x14ac:dyDescent="0.2">
      <c r="K37" s="8" t="s">
        <v>492</v>
      </c>
      <c r="L37" s="10">
        <f t="shared" ref="L37:L44" si="29">IFERROR((B4-C4)/ABS(C4),"-")</f>
        <v>0.12735218101318502</v>
      </c>
      <c r="M37" s="10">
        <f t="shared" ref="M37:M44" si="30">IFERROR((D4-E4)/ABS(E4),"-")</f>
        <v>-0.66555522999694749</v>
      </c>
      <c r="N37" s="10">
        <f t="shared" ref="N37:N44" si="31">IFERROR((F4-G4)/ABS(G4),"-")</f>
        <v>-2.7209669394192327E-2</v>
      </c>
      <c r="O37" s="10">
        <f t="shared" ref="O37:P44" si="32">IFERROR((H4-I4)/ABS(I4),"-")</f>
        <v>1.6620274679075162</v>
      </c>
      <c r="P37" s="10">
        <f t="shared" si="32"/>
        <v>2.2886569116764188</v>
      </c>
    </row>
    <row r="38" spans="11:20" ht="15" customHeight="1" x14ac:dyDescent="0.2">
      <c r="K38" s="8" t="s">
        <v>493</v>
      </c>
      <c r="L38" s="10">
        <f t="shared" si="29"/>
        <v>0.24597276272703256</v>
      </c>
      <c r="M38" s="10">
        <f t="shared" si="30"/>
        <v>-9.7551267482791443E-2</v>
      </c>
      <c r="N38" s="10">
        <f t="shared" si="31"/>
        <v>-0.35416052604112308</v>
      </c>
      <c r="O38" s="10">
        <f t="shared" si="32"/>
        <v>1.2400659219923091</v>
      </c>
      <c r="P38" s="10">
        <f t="shared" si="32"/>
        <v>0.21981623632403918</v>
      </c>
    </row>
    <row r="39" spans="11:20" ht="15" customHeight="1" x14ac:dyDescent="0.2">
      <c r="K39" s="8" t="s">
        <v>494</v>
      </c>
      <c r="L39" s="10">
        <f t="shared" si="29"/>
        <v>-0.53317046358420916</v>
      </c>
      <c r="M39" s="10">
        <f t="shared" si="30"/>
        <v>0.33277492529717478</v>
      </c>
      <c r="N39" s="10">
        <f t="shared" si="31"/>
        <v>-0.13546036811496298</v>
      </c>
      <c r="O39" s="10">
        <f t="shared" si="32"/>
        <v>0.79643530055309064</v>
      </c>
      <c r="P39" s="10">
        <f t="shared" si="32"/>
        <v>0.16754963509638734</v>
      </c>
    </row>
    <row r="40" spans="11:20" ht="15" customHeight="1" x14ac:dyDescent="0.2">
      <c r="K40" s="8" t="s">
        <v>495</v>
      </c>
      <c r="L40" s="10">
        <f t="shared" si="29"/>
        <v>0.57894966299021577</v>
      </c>
      <c r="M40" s="10">
        <f t="shared" si="30"/>
        <v>0.21672305258252314</v>
      </c>
      <c r="N40" s="10">
        <f t="shared" si="31"/>
        <v>-0.21919737624308672</v>
      </c>
      <c r="O40" s="10">
        <f t="shared" si="32"/>
        <v>-1.018891359839992</v>
      </c>
      <c r="P40" s="10">
        <f t="shared" si="32"/>
        <v>-0.54187202523446076</v>
      </c>
    </row>
    <row r="41" spans="11:20" ht="15" customHeight="1" x14ac:dyDescent="0.2">
      <c r="K41" s="8" t="s">
        <v>496</v>
      </c>
      <c r="L41" s="10">
        <f t="shared" si="29"/>
        <v>2.8642151297683122E-2</v>
      </c>
      <c r="M41" s="10">
        <f t="shared" si="30"/>
        <v>0.26432675474472866</v>
      </c>
      <c r="N41" s="10">
        <f t="shared" si="31"/>
        <v>4.4177719704109899</v>
      </c>
      <c r="O41" s="10">
        <f t="shared" si="32"/>
        <v>-3.4300686502941518</v>
      </c>
      <c r="P41" s="10">
        <f t="shared" si="32"/>
        <v>0.62041704940798659</v>
      </c>
    </row>
    <row r="42" spans="11:20" ht="15" customHeight="1" x14ac:dyDescent="0.2">
      <c r="K42" s="8" t="s">
        <v>497</v>
      </c>
      <c r="L42" s="10">
        <f t="shared" si="29"/>
        <v>-1.0966281624587659</v>
      </c>
      <c r="M42" s="10">
        <f t="shared" si="30"/>
        <v>1.3436016200871521</v>
      </c>
      <c r="N42" s="10">
        <f t="shared" si="31"/>
        <v>0.21950491443343184</v>
      </c>
      <c r="O42" s="10">
        <f t="shared" si="32"/>
        <v>-1.4517923898155742</v>
      </c>
      <c r="P42" s="10">
        <f t="shared" si="32"/>
        <v>-3.9037832257729415</v>
      </c>
    </row>
    <row r="43" spans="11:20" ht="15" customHeight="1" x14ac:dyDescent="0.2">
      <c r="K43" s="8" t="s">
        <v>498</v>
      </c>
      <c r="L43" s="10">
        <f t="shared" si="29"/>
        <v>-1.8006355901405253</v>
      </c>
      <c r="M43" s="10">
        <f t="shared" si="30"/>
        <v>0.23494719256127275</v>
      </c>
      <c r="N43" s="10">
        <f t="shared" si="31"/>
        <v>0.42432239781004288</v>
      </c>
      <c r="O43" s="10">
        <f t="shared" si="32"/>
        <v>-6.9989746274843467</v>
      </c>
      <c r="P43" s="10">
        <f t="shared" si="32"/>
        <v>-2.9077836824007504</v>
      </c>
    </row>
    <row r="44" spans="11:20" ht="15" customHeight="1" x14ac:dyDescent="0.2">
      <c r="K44" s="39" t="s">
        <v>499</v>
      </c>
      <c r="L44" s="37">
        <f t="shared" si="29"/>
        <v>-0.28458535208047264</v>
      </c>
      <c r="M44" s="37">
        <f t="shared" si="30"/>
        <v>0.65785085267443155</v>
      </c>
      <c r="N44" s="37">
        <f t="shared" si="31"/>
        <v>3.110936225446967</v>
      </c>
      <c r="O44" s="37">
        <f t="shared" si="32"/>
        <v>-0.49118578179348221</v>
      </c>
      <c r="P44" s="37">
        <f t="shared" si="32"/>
        <v>0.193330368139599</v>
      </c>
    </row>
    <row r="45" spans="11:20" ht="15" customHeight="1" x14ac:dyDescent="0.2">
      <c r="K45" s="8" t="s">
        <v>500</v>
      </c>
      <c r="L45" s="10">
        <f>IFERROR((B14-C14)/ABS(C14),"-")</f>
        <v>0.26036071850232068</v>
      </c>
      <c r="M45" s="10">
        <f>IFERROR((D14-E14)/ABS(E14),"-")</f>
        <v>-5.8990648818703724</v>
      </c>
      <c r="N45" s="10">
        <f>IFERROR((F14-G14)/ABS(G14),"-")</f>
        <v>0.4283368094200391</v>
      </c>
      <c r="O45" s="10">
        <f t="shared" ref="O45:P49" si="33">IFERROR((H14-I14)/ABS(I14),"-")</f>
        <v>0.34331953425058021</v>
      </c>
      <c r="P45" s="10">
        <f t="shared" si="33"/>
        <v>-9.6786971104129726</v>
      </c>
    </row>
    <row r="46" spans="11:20" ht="15" customHeight="1" x14ac:dyDescent="0.2">
      <c r="K46" s="8" t="s">
        <v>501</v>
      </c>
      <c r="L46" s="10">
        <f>IFERROR((B15-C15)/ABS(C15),"-")</f>
        <v>-0.75625889735049001</v>
      </c>
      <c r="M46" s="10">
        <f>IFERROR((D15-E15)/ABS(E15),"-")</f>
        <v>-1.9724680855640278</v>
      </c>
      <c r="N46" s="10">
        <f>IFERROR((F15-G15)/ABS(G15),"-")</f>
        <v>0.56467781074887957</v>
      </c>
      <c r="O46" s="10">
        <f t="shared" si="33"/>
        <v>-0.99205206646271971</v>
      </c>
      <c r="P46" s="10">
        <f t="shared" si="33"/>
        <v>-44.11772665764547</v>
      </c>
    </row>
    <row r="47" spans="11:20" ht="15" customHeight="1" x14ac:dyDescent="0.2">
      <c r="K47" s="8" t="s">
        <v>502</v>
      </c>
      <c r="L47" s="10">
        <f>IFERROR((B16-C16)/ABS(C16),"-")</f>
        <v>34.820984162895925</v>
      </c>
      <c r="M47" s="10">
        <f>IFERROR((D16-E16)/ABS(E16),"-")</f>
        <v>-0.95117521077886513</v>
      </c>
      <c r="N47" s="10">
        <f>IFERROR((F16-G16)/ABS(G16),"-")</f>
        <v>681.77678571428567</v>
      </c>
      <c r="O47" s="10">
        <f t="shared" si="33"/>
        <v>-1</v>
      </c>
      <c r="P47" s="10">
        <f t="shared" si="33"/>
        <v>1.1106719367588933</v>
      </c>
    </row>
    <row r="48" spans="11:20" ht="15" customHeight="1" x14ac:dyDescent="0.2">
      <c r="K48" s="8" t="s">
        <v>503</v>
      </c>
      <c r="L48" s="10">
        <f>IFERROR((B17-C17)/ABS(C17),"-")</f>
        <v>-31.861897756528137</v>
      </c>
      <c r="M48" s="10">
        <f>IFERROR((D17-E17)/ABS(E17),"-")</f>
        <v>0.97960275802317609</v>
      </c>
      <c r="N48" s="10" t="str">
        <f>IFERROR((F17-G17)/ABS(G17),"-")</f>
        <v>-</v>
      </c>
      <c r="O48" s="10" t="str">
        <f t="shared" si="33"/>
        <v>-</v>
      </c>
      <c r="P48" s="10" t="str">
        <f t="shared" si="33"/>
        <v>-</v>
      </c>
    </row>
    <row r="49" spans="11:16" ht="15" customHeight="1" x14ac:dyDescent="0.2">
      <c r="K49" s="39" t="s">
        <v>504</v>
      </c>
      <c r="L49" s="37">
        <f>IFERROR((B18-C18)/ABS(C18),"-")</f>
        <v>0.13351433891812098</v>
      </c>
      <c r="M49" s="37">
        <f>IFERROR((D18-E18)/ABS(E18),"-")</f>
        <v>-2.0540740789374339</v>
      </c>
      <c r="N49" s="37">
        <f>IFERROR((F18-G18)/ABS(G18),"-")</f>
        <v>-8.7782625268256892E-2</v>
      </c>
      <c r="O49" s="37">
        <f t="shared" si="33"/>
        <v>0.32660319355537393</v>
      </c>
      <c r="P49" s="37">
        <f t="shared" si="33"/>
        <v>-9.0151479799047731</v>
      </c>
    </row>
    <row r="50" spans="11:16" ht="15" customHeight="1" x14ac:dyDescent="0.2">
      <c r="K50" s="8" t="s">
        <v>505</v>
      </c>
      <c r="L50" s="10">
        <f t="shared" ref="L50:L56" si="34">IFERROR((B21-C21)/ABS(C21),"-")</f>
        <v>8.5660624493879928E-2</v>
      </c>
      <c r="M50" s="10">
        <f t="shared" ref="M50:M56" si="35">IFERROR((D21-E21)/ABS(E21),"-")</f>
        <v>0.98774700093150092</v>
      </c>
      <c r="N50" s="10">
        <f t="shared" ref="N50:N56" si="36">IFERROR((F21-G21)/ABS(G21),"-")</f>
        <v>-0.12885922058856525</v>
      </c>
      <c r="O50" s="10">
        <f t="shared" ref="O50:P56" si="37">IFERROR((H21-I21)/ABS(I21),"-")</f>
        <v>-6.7895631431701756E-2</v>
      </c>
      <c r="P50" s="10">
        <f t="shared" si="37"/>
        <v>0.79128793516162999</v>
      </c>
    </row>
    <row r="51" spans="11:16" ht="15" customHeight="1" x14ac:dyDescent="0.2">
      <c r="K51" s="8" t="s">
        <v>506</v>
      </c>
      <c r="L51" s="10">
        <f t="shared" si="34"/>
        <v>4.1226695063173835E-2</v>
      </c>
      <c r="M51" s="10">
        <f t="shared" si="35"/>
        <v>-0.28028955242752807</v>
      </c>
      <c r="N51" s="10">
        <f t="shared" si="36"/>
        <v>-0.69570934590795785</v>
      </c>
      <c r="O51" s="10">
        <f t="shared" si="37"/>
        <v>0.21712426482290448</v>
      </c>
      <c r="P51" s="10">
        <f t="shared" si="37"/>
        <v>0.15759771061665453</v>
      </c>
    </row>
    <row r="52" spans="11:16" ht="15" customHeight="1" x14ac:dyDescent="0.2">
      <c r="K52" s="8" t="s">
        <v>507</v>
      </c>
      <c r="L52" s="10">
        <f t="shared" si="34"/>
        <v>0.28646313923558836</v>
      </c>
      <c r="M52" s="10">
        <f t="shared" si="35"/>
        <v>-0.10060998272808763</v>
      </c>
      <c r="N52" s="10">
        <f t="shared" si="36"/>
        <v>-0.85191507272132072</v>
      </c>
      <c r="O52" s="10">
        <f t="shared" si="37"/>
        <v>-7.6853049907578557</v>
      </c>
      <c r="P52" s="10">
        <f t="shared" si="37"/>
        <v>0.43449477351916377</v>
      </c>
    </row>
    <row r="53" spans="11:16" ht="15" customHeight="1" x14ac:dyDescent="0.2">
      <c r="K53" s="8" t="s">
        <v>508</v>
      </c>
      <c r="L53" s="10">
        <f t="shared" si="34"/>
        <v>0.48639027090025799</v>
      </c>
      <c r="M53" s="10">
        <f t="shared" si="35"/>
        <v>-0.23380560770645847</v>
      </c>
      <c r="N53" s="10">
        <f t="shared" si="36"/>
        <v>5.5700480724594326E-2</v>
      </c>
      <c r="O53" s="10">
        <f t="shared" si="37"/>
        <v>-0.52680279260906349</v>
      </c>
      <c r="P53" s="10">
        <f t="shared" si="37"/>
        <v>-9.644624135435774E-2</v>
      </c>
    </row>
    <row r="54" spans="11:16" ht="15" customHeight="1" x14ac:dyDescent="0.2">
      <c r="K54" s="8" t="s">
        <v>509</v>
      </c>
      <c r="L54" s="10">
        <f t="shared" si="34"/>
        <v>-0.57894966299021577</v>
      </c>
      <c r="M54" s="10">
        <f t="shared" si="35"/>
        <v>-0.21672305258252314</v>
      </c>
      <c r="N54" s="10">
        <f t="shared" si="36"/>
        <v>0.21919737624308672</v>
      </c>
      <c r="O54" s="10">
        <f t="shared" si="37"/>
        <v>1.018891359839992</v>
      </c>
      <c r="P54" s="10">
        <f t="shared" si="37"/>
        <v>0.54187202523446076</v>
      </c>
    </row>
    <row r="55" spans="11:16" ht="15" customHeight="1" x14ac:dyDescent="0.2">
      <c r="K55" s="8" t="s">
        <v>510</v>
      </c>
      <c r="L55" s="10">
        <f t="shared" si="34"/>
        <v>1</v>
      </c>
      <c r="M55" s="10">
        <f t="shared" si="35"/>
        <v>0.12982369992629667</v>
      </c>
      <c r="N55" s="10">
        <f t="shared" si="36"/>
        <v>-0.13259835082723989</v>
      </c>
      <c r="O55" s="10">
        <f t="shared" si="37"/>
        <v>-0.18043518954169008</v>
      </c>
      <c r="P55" s="10" t="str">
        <f t="shared" si="37"/>
        <v>-</v>
      </c>
    </row>
    <row r="56" spans="11:16" ht="15" customHeight="1" x14ac:dyDescent="0.2">
      <c r="K56" s="39" t="s">
        <v>511</v>
      </c>
      <c r="L56" s="37">
        <f t="shared" si="34"/>
        <v>0.80242865346978465</v>
      </c>
      <c r="M56" s="37">
        <f t="shared" si="35"/>
        <v>4.6399872348885145</v>
      </c>
      <c r="N56" s="37">
        <f t="shared" si="36"/>
        <v>-1.4208180072735717</v>
      </c>
      <c r="O56" s="37">
        <f t="shared" si="37"/>
        <v>3.4793008648332686E-2</v>
      </c>
      <c r="P56" s="37">
        <f t="shared" si="37"/>
        <v>2.8190137092355103</v>
      </c>
    </row>
    <row r="57" spans="11:16" ht="15" customHeight="1" x14ac:dyDescent="0.2">
      <c r="K57" s="39" t="s">
        <v>512</v>
      </c>
      <c r="L57" s="37">
        <f>IFERROR((B29-C29)/ABS(C29),"-")</f>
        <v>15.136728850990556</v>
      </c>
      <c r="M57" s="37">
        <f>IFERROR((D29-E29)/ABS(E29),"-")</f>
        <v>2.2327912686027482</v>
      </c>
      <c r="N57" s="37">
        <f>IFERROR((F29-G29)/ABS(G29),"-")</f>
        <v>-1.2119078533665604</v>
      </c>
      <c r="O57" s="37">
        <f t="shared" ref="O57:P60" si="38">IFERROR((H29-I29)/ABS(I29),"-")</f>
        <v>0.97567734282325025</v>
      </c>
      <c r="P57" s="37">
        <f t="shared" si="38"/>
        <v>7.6161053948477039E-2</v>
      </c>
    </row>
    <row r="58" spans="11:16" ht="15" customHeight="1" x14ac:dyDescent="0.2">
      <c r="K58" s="8" t="s">
        <v>513</v>
      </c>
      <c r="L58" s="10">
        <f>IFERROR((B30-C30)/ABS(C30),"-")</f>
        <v>0.29575294733689178</v>
      </c>
      <c r="M58" s="10">
        <f>IFERROR((D30-E30)/ABS(E30),"-")</f>
        <v>0.59737217159242539</v>
      </c>
      <c r="N58" s="10">
        <f>IFERROR((F30-G30)/ABS(G30),"-")</f>
        <v>-9.2632552681828573E-2</v>
      </c>
      <c r="O58" s="10" t="str">
        <f t="shared" si="38"/>
        <v>-</v>
      </c>
      <c r="P58" s="10" t="str">
        <f t="shared" si="38"/>
        <v>-</v>
      </c>
    </row>
    <row r="59" spans="11:16" ht="15" customHeight="1" x14ac:dyDescent="0.2">
      <c r="K59" s="8" t="s">
        <v>514</v>
      </c>
      <c r="L59" s="10">
        <f>IFERROR((B31-C31)/ABS(C31),"-")</f>
        <v>-8.2736533926820871E-2</v>
      </c>
      <c r="M59" s="10">
        <f>IFERROR((D31-E31)/ABS(E31),"-")</f>
        <v>-0.48603769919249118</v>
      </c>
      <c r="N59" s="10">
        <f>IFERROR((F31-G31)/ABS(G31),"-")</f>
        <v>9.2299670348281154E-2</v>
      </c>
      <c r="O59" s="10">
        <f t="shared" si="38"/>
        <v>0.66530501433207478</v>
      </c>
      <c r="P59" s="10">
        <f t="shared" si="38"/>
        <v>1.6043689519941462</v>
      </c>
    </row>
    <row r="60" spans="11:16" ht="15" customHeight="1" x14ac:dyDescent="0.2">
      <c r="K60" s="39" t="s">
        <v>142</v>
      </c>
      <c r="L60" s="37">
        <f>IFERROR((B32-C32)/ABS(C32),"-")</f>
        <v>3.7160375791624842</v>
      </c>
      <c r="M60" s="37">
        <f>IFERROR((D32-E32)/ABS(E32),"-")</f>
        <v>-8.2736922232616375E-2</v>
      </c>
      <c r="N60" s="37">
        <f>IFERROR((F32-G32)/ABS(G32),"-")</f>
        <v>-0.48424884293362808</v>
      </c>
      <c r="O60" s="37">
        <f t="shared" si="38"/>
        <v>0.78930167841341214</v>
      </c>
      <c r="P60" s="37">
        <f t="shared" si="38"/>
        <v>0.66166455620444398</v>
      </c>
    </row>
  </sheetData>
  <mergeCells count="3">
    <mergeCell ref="A1:J1"/>
    <mergeCell ref="L1:T1"/>
    <mergeCell ref="L35:T3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topLeftCell="A10" zoomScaleNormal="100" workbookViewId="0">
      <pane xSplit="1" ySplit="2" topLeftCell="B3" activePane="bottomRight" state="frozen"/>
      <selection activeCell="A10" sqref="A10"/>
      <selection pane="topRight" activeCell="B10" sqref="B10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39" customWidth="1"/>
    <col min="2" max="2" width="51" customWidth="1"/>
    <col min="3" max="3" width="21" customWidth="1"/>
    <col min="4" max="10" width="15" customWidth="1"/>
    <col min="11" max="14" width="3" customWidth="1"/>
  </cols>
  <sheetData>
    <row r="1" spans="1:14" ht="21.75" customHeight="1" x14ac:dyDescent="0.2">
      <c r="A1" s="256" t="s">
        <v>515</v>
      </c>
      <c r="B1" s="256"/>
      <c r="C1" s="256"/>
      <c r="D1" s="256"/>
      <c r="E1" s="256"/>
      <c r="F1" s="256"/>
      <c r="G1" s="256"/>
      <c r="H1" s="256"/>
      <c r="I1" s="256"/>
      <c r="J1" s="70"/>
      <c r="K1" s="71"/>
      <c r="L1" s="70"/>
      <c r="M1" s="70"/>
      <c r="N1" s="70"/>
    </row>
    <row r="2" spans="1:14" ht="27.75" customHeight="1" x14ac:dyDescent="0.2">
      <c r="A2" s="51" t="s">
        <v>149</v>
      </c>
      <c r="B2" s="72" t="s">
        <v>516</v>
      </c>
      <c r="C2" s="72" t="s">
        <v>151</v>
      </c>
      <c r="D2" s="52">
        <v>2025</v>
      </c>
      <c r="E2" s="52">
        <v>2024</v>
      </c>
      <c r="F2" s="52">
        <v>2023</v>
      </c>
      <c r="G2" s="52">
        <v>2022</v>
      </c>
      <c r="H2" s="52">
        <v>2021</v>
      </c>
      <c r="I2" s="52">
        <v>2020</v>
      </c>
      <c r="J2" s="73"/>
      <c r="K2" s="73"/>
      <c r="L2" s="70"/>
      <c r="M2" s="70"/>
      <c r="N2" s="70"/>
    </row>
    <row r="3" spans="1:14" ht="15.75" customHeight="1" x14ac:dyDescent="0.2">
      <c r="A3" s="53" t="s">
        <v>517</v>
      </c>
      <c r="B3" s="74"/>
      <c r="C3" s="74"/>
      <c r="D3" s="53"/>
      <c r="E3" s="53"/>
      <c r="F3" s="53"/>
      <c r="G3" s="53"/>
      <c r="H3" s="53"/>
      <c r="I3" s="53"/>
      <c r="J3" s="75"/>
      <c r="K3" s="75"/>
      <c r="L3" s="70"/>
      <c r="M3" s="70"/>
      <c r="N3" s="70"/>
    </row>
    <row r="4" spans="1:14" ht="15" customHeight="1" x14ac:dyDescent="0.2">
      <c r="A4" s="54" t="s">
        <v>518</v>
      </c>
      <c r="B4" s="76" t="s">
        <v>519</v>
      </c>
      <c r="C4" s="76" t="s">
        <v>520</v>
      </c>
      <c r="D4" s="77">
        <f>IF(AKSEN_BS!B39=0,"",AKSEN_BS!B14/AKSEN_BS!B39)</f>
        <v>0.76190534629932083</v>
      </c>
      <c r="E4" s="77">
        <f>IF(AKSEN_BS!D39=0,"",AKSEN_BS!D14/AKSEN_BS!D39)</f>
        <v>0.68223024631439322</v>
      </c>
      <c r="F4" s="77">
        <f>IF(AKSEN_BS!F39=0,"",AKSEN_BS!F14/AKSEN_BS!F39)</f>
        <v>1.2414988290466176</v>
      </c>
      <c r="G4" s="77">
        <f>IF(AKSEN_BS!H39=0,"",AKSEN_BS!H14/AKSEN_BS!H39)</f>
        <v>1.4305907825471504</v>
      </c>
      <c r="H4" s="77">
        <f>IF(AKSEN_BS!I39=0,"",AKSEN_BS!I14/AKSEN_BS!I39)</f>
        <v>1.1366783532378137</v>
      </c>
      <c r="I4" s="77">
        <f>IF(AKSEN_BS!J39=0,"",AKSEN_BS!J14/AKSEN_BS!J39)</f>
        <v>1.05037475012615</v>
      </c>
      <c r="J4" s="78"/>
      <c r="K4" s="78"/>
      <c r="L4" s="70"/>
      <c r="M4" s="70"/>
      <c r="N4" s="70"/>
    </row>
    <row r="5" spans="1:14" ht="15" customHeight="1" x14ac:dyDescent="0.2">
      <c r="A5" s="54" t="s">
        <v>521</v>
      </c>
      <c r="B5" s="76" t="s">
        <v>522</v>
      </c>
      <c r="C5" s="76" t="s">
        <v>523</v>
      </c>
      <c r="D5" s="77">
        <f>IF(AKSEN_BS!B39=0,"",(AKSEN_BS!B14-AKSEN_BS!B10)/AKSEN_BS!B39)</f>
        <v>0.6771385725144019</v>
      </c>
      <c r="E5" s="77">
        <f>IF(AKSEN_BS!D39=0,"",(AKSEN_BS!D14-AKSEN_BS!D10)/AKSEN_BS!D39)</f>
        <v>0.61876641924794762</v>
      </c>
      <c r="F5" s="77">
        <f>IF(AKSEN_BS!F39=0,"",(AKSEN_BS!F14-AKSEN_BS!F10)/AKSEN_BS!F39)</f>
        <v>1.1764132309342064</v>
      </c>
      <c r="G5" s="77">
        <f>IF(AKSEN_BS!H39=0,"",(AKSEN_BS!H14-AKSEN_BS!H10)/AKSEN_BS!H39)</f>
        <v>1.399970952351832</v>
      </c>
      <c r="H5" s="77">
        <f>IF(AKSEN_BS!I39=0,"",(AKSEN_BS!I14-AKSEN_BS!I10)/AKSEN_BS!I39)</f>
        <v>1.1007476078509906</v>
      </c>
      <c r="I5" s="77">
        <f>IF(AKSEN_BS!J39=0,"",(AKSEN_BS!J14-AKSEN_BS!J10)/AKSEN_BS!J39)</f>
        <v>1.0084289970112177</v>
      </c>
      <c r="J5" s="78"/>
      <c r="K5" s="78"/>
      <c r="L5" s="70"/>
      <c r="M5" s="70"/>
      <c r="N5" s="70"/>
    </row>
    <row r="6" spans="1:14" ht="15" customHeight="1" x14ac:dyDescent="0.2">
      <c r="A6" s="54" t="s">
        <v>524</v>
      </c>
      <c r="B6" s="76" t="s">
        <v>525</v>
      </c>
      <c r="C6" s="76" t="s">
        <v>526</v>
      </c>
      <c r="D6" s="77">
        <f>IF(AKSEN_BS!B39=0,"",AKSEN_BS!B5/AKSEN_BS!B39)</f>
        <v>0.24849686414514896</v>
      </c>
      <c r="E6" s="77">
        <f>IF(AKSEN_BS!D39=0,"",AKSEN_BS!D5/AKSEN_BS!D39)</f>
        <v>4.8557500882125147E-2</v>
      </c>
      <c r="F6" s="77">
        <f>IF(AKSEN_BS!F39=0,"",AKSEN_BS!F5/AKSEN_BS!F39)</f>
        <v>5.7741850961341143E-2</v>
      </c>
      <c r="G6" s="77">
        <f>IF(AKSEN_BS!H39=0,"",AKSEN_BS!H5/AKSEN_BS!H39)</f>
        <v>0.11746189720490947</v>
      </c>
      <c r="H6" s="77">
        <f>IF(AKSEN_BS!I39=0,"",AKSEN_BS!I5/AKSEN_BS!I39)</f>
        <v>8.3659565064396257E-2</v>
      </c>
      <c r="I6" s="77">
        <f>IF(AKSEN_BS!J39=0,"",AKSEN_BS!J5/AKSEN_BS!J39)</f>
        <v>9.5271076737957539E-2</v>
      </c>
      <c r="J6" s="78"/>
      <c r="K6" s="78"/>
      <c r="L6" s="70"/>
      <c r="M6" s="70"/>
      <c r="N6" s="70"/>
    </row>
    <row r="7" spans="1:14" ht="15.75" customHeight="1" x14ac:dyDescent="0.2">
      <c r="A7" s="53" t="s">
        <v>527</v>
      </c>
      <c r="B7" s="74"/>
      <c r="C7" s="74"/>
      <c r="D7" s="53"/>
      <c r="E7" s="53"/>
      <c r="F7" s="53"/>
      <c r="G7" s="53"/>
      <c r="H7" s="53"/>
      <c r="I7" s="53"/>
      <c r="J7" s="75"/>
      <c r="K7" s="75"/>
      <c r="L7" s="70"/>
      <c r="M7" s="70"/>
      <c r="N7" s="70"/>
    </row>
    <row r="8" spans="1:14" ht="15" customHeight="1" x14ac:dyDescent="0.2">
      <c r="A8" s="54" t="s">
        <v>528</v>
      </c>
      <c r="B8" s="76" t="s">
        <v>529</v>
      </c>
      <c r="C8" s="76" t="s">
        <v>530</v>
      </c>
      <c r="D8" s="79">
        <f>IF(AKSEN_BS!B24=0,"",AKSEN_BS!B46/AKSEN_BS!B24)</f>
        <v>0.49741010248470768</v>
      </c>
      <c r="E8" s="79">
        <f>IF(AKSEN_BS!D24=0,"",AKSEN_BS!D46/AKSEN_BS!D24)</f>
        <v>0.46200913581605374</v>
      </c>
      <c r="F8" s="79">
        <f>IF(AKSEN_BS!F24=0,"",AKSEN_BS!F46/AKSEN_BS!F24)</f>
        <v>0.37935945560248774</v>
      </c>
      <c r="G8" s="79">
        <f>IF(AKSEN_BS!H24=0,"",AKSEN_BS!H46/AKSEN_BS!H24)</f>
        <v>0.42951752030022894</v>
      </c>
      <c r="H8" s="79">
        <f>IF(AKSEN_BS!I24=0,"",AKSEN_BS!I46/AKSEN_BS!I24)</f>
        <v>0.48743615898022313</v>
      </c>
      <c r="I8" s="79">
        <f>IF(AKSEN_BS!J24=0,"",AKSEN_BS!J46/AKSEN_BS!J24)</f>
        <v>0.51325981874192728</v>
      </c>
      <c r="J8" s="80"/>
      <c r="K8" s="80"/>
      <c r="L8" s="70"/>
      <c r="M8" s="70"/>
      <c r="N8" s="70"/>
    </row>
    <row r="9" spans="1:14" ht="15" customHeight="1" x14ac:dyDescent="0.2">
      <c r="A9" s="54" t="s">
        <v>531</v>
      </c>
      <c r="B9" s="76" t="s">
        <v>532</v>
      </c>
      <c r="C9" s="76" t="s">
        <v>533</v>
      </c>
      <c r="D9" s="77">
        <f>IF(AKSEN_BS!B60=0,"",AKSEN_BS!B46/AKSEN_BS!B60)</f>
        <v>0.98969385475546534</v>
      </c>
      <c r="E9" s="77">
        <f>IF(AKSEN_BS!D60=0,"",AKSEN_BS!D46/AKSEN_BS!D60)</f>
        <v>0.85876760405950681</v>
      </c>
      <c r="F9" s="77">
        <f>IF(AKSEN_BS!F60=0,"",AKSEN_BS!F46/AKSEN_BS!F60)</f>
        <v>0.61123857935818193</v>
      </c>
      <c r="G9" s="77">
        <f>IF(AKSEN_BS!H60=0,"",AKSEN_BS!H46/AKSEN_BS!H60)</f>
        <v>0.75290225070867711</v>
      </c>
      <c r="H9" s="77">
        <f>IF(AKSEN_BS!I60=0,"",AKSEN_BS!I46/AKSEN_BS!I60)</f>
        <v>0.95097630356470697</v>
      </c>
      <c r="I9" s="77">
        <f>IF(AKSEN_BS!J60=0,"",AKSEN_BS!J46/AKSEN_BS!J60)</f>
        <v>1.0544837195928087</v>
      </c>
      <c r="J9" s="78"/>
      <c r="K9" s="78"/>
      <c r="L9" s="70"/>
      <c r="M9" s="70"/>
      <c r="N9" s="70"/>
    </row>
    <row r="10" spans="1:14" ht="15" customHeight="1" x14ac:dyDescent="0.2">
      <c r="A10" s="54" t="s">
        <v>534</v>
      </c>
      <c r="B10" s="76" t="s">
        <v>535</v>
      </c>
      <c r="C10" s="76" t="s">
        <v>536</v>
      </c>
      <c r="D10" s="77">
        <f>IF(AKSEN_BS!B60=0,"",(AKSEN_BS!B28+AKSEN_BS!B29+AKSEN_BS!B41)/AKSEN_BS!B60)</f>
        <v>0.83013697809870435</v>
      </c>
      <c r="E10" s="77">
        <f>IF(AKSEN_BS!D60=0,"",(AKSEN_BS!D28+AKSEN_BS!D29+AKSEN_BS!D41)/AKSEN_BS!D60)</f>
        <v>0.62779800481992276</v>
      </c>
      <c r="F10" s="77">
        <f>IF(AKSEN_BS!F60=0,"",(AKSEN_BS!F28+AKSEN_BS!F29+AKSEN_BS!F41)/AKSEN_BS!F60)</f>
        <v>0.38251600425122778</v>
      </c>
      <c r="G10" s="77">
        <f>IF(AKSEN_BS!H60=0,"",(AKSEN_BS!H28+AKSEN_BS!H29+AKSEN_BS!H41)/AKSEN_BS!H60)</f>
        <v>0.44936372283931664</v>
      </c>
      <c r="H10" s="77">
        <f>IF(AKSEN_BS!I60=0,"",(AKSEN_BS!I28+AKSEN_BS!I29+AKSEN_BS!I41)/AKSEN_BS!I60)</f>
        <v>0.52766423335595825</v>
      </c>
      <c r="I10" s="77">
        <f>IF(AKSEN_BS!J60=0,"",(AKSEN_BS!J28+AKSEN_BS!J29+AKSEN_BS!J41)/AKSEN_BS!J60)</f>
        <v>0.61745469797388086</v>
      </c>
      <c r="J10" s="78"/>
      <c r="K10" s="78"/>
      <c r="L10" s="70"/>
      <c r="M10" s="70"/>
      <c r="N10" s="70"/>
    </row>
    <row r="11" spans="1:14" ht="15" customHeight="1" x14ac:dyDescent="0.2">
      <c r="A11" s="54" t="s">
        <v>178</v>
      </c>
      <c r="B11" s="76" t="s">
        <v>537</v>
      </c>
      <c r="C11" s="76" t="s">
        <v>538</v>
      </c>
      <c r="D11" s="77">
        <f>IF(AKSEN_PLS!B13=0,"",(AKSEN_BS!B28+AKSEN_BS!B29+AKSEN_BS!B41-AKSEN_BS!B5)/AKSEN_PLS!B13)</f>
        <v>3.691124767662195</v>
      </c>
      <c r="E11" s="77">
        <f>IF(AKSEN_PLS!D13=0,"",(AKSEN_BS!D28+AKSEN_BS!D29+AKSEN_BS!D41-AKSEN_BS!D5)/AKSEN_PLS!D13)</f>
        <v>3.6219234491297096</v>
      </c>
      <c r="F11" s="77">
        <f>IF(AKSEN_PLS!F13=0,"",(AKSEN_BS!F28+AKSEN_BS!F29+AKSEN_BS!F41-AKSEN_BS!F5)/AKSEN_PLS!F13)</f>
        <v>1.4957534780956481</v>
      </c>
      <c r="G11" s="77">
        <f>IF(AKSEN_PLS!H13=0,"",(AKSEN_BS!H28+AKSEN_BS!H29+AKSEN_BS!H41-AKSEN_BS!H5)/AKSEN_PLS!H13)</f>
        <v>1.1412648352710291</v>
      </c>
      <c r="H11" s="77">
        <f>IF(AKSEN_PLS!I13=0,"",(AKSEN_BS!I28+AKSEN_BS!I29+AKSEN_BS!I41-AKSEN_BS!I5)/AKSEN_PLS!I13)</f>
        <v>1.9261734619883619</v>
      </c>
      <c r="I11" s="77">
        <f>IF(AKSEN_PLS!J13=0,"",(AKSEN_BS!J28+AKSEN_BS!J29+AKSEN_BS!J41-AKSEN_BS!J5)/AKSEN_PLS!J13)</f>
        <v>1.6854438550970081</v>
      </c>
      <c r="J11" s="78"/>
      <c r="K11" s="78"/>
      <c r="L11" s="70"/>
      <c r="M11" s="70"/>
      <c r="N11" s="70"/>
    </row>
    <row r="12" spans="1:14" ht="15" customHeight="1" x14ac:dyDescent="0.2">
      <c r="A12" s="54" t="s">
        <v>539</v>
      </c>
      <c r="B12" s="76" t="s">
        <v>182</v>
      </c>
      <c r="C12" s="76" t="s">
        <v>540</v>
      </c>
      <c r="D12" s="77">
        <f>IF(AKSEN_PLS!B20=0,"",AKSEN_PLS!B11/ABS(AKSEN_PLS!B20))</f>
        <v>2.2109718847182425</v>
      </c>
      <c r="E12" s="77">
        <f>IF(AKSEN_PLS!D20=0,"",AKSEN_PLS!D11/ABS(AKSEN_PLS!D20))</f>
        <v>1.2077694450922392</v>
      </c>
      <c r="F12" s="77">
        <f>IF(AKSEN_PLS!F20=0,"",AKSEN_PLS!F11/ABS(AKSEN_PLS!F20))</f>
        <v>2.6791438799278833</v>
      </c>
      <c r="G12" s="77">
        <f>IF(AKSEN_PLS!H20=0,"",AKSEN_PLS!H11/ABS(AKSEN_PLS!H20))</f>
        <v>4.7591220050734657</v>
      </c>
      <c r="H12" s="77">
        <f>IF(AKSEN_PLS!I20=0,"",AKSEN_PLS!I11/ABS(AKSEN_PLS!I20))</f>
        <v>3.2676403891716217</v>
      </c>
      <c r="I12" s="77">
        <f>IF(AKSEN_PLS!J20=0,"",AKSEN_PLS!J11/ABS(AKSEN_PLS!J20))</f>
        <v>1.5284250436547091</v>
      </c>
      <c r="J12" s="78"/>
      <c r="K12" s="78"/>
      <c r="L12" s="70"/>
      <c r="M12" s="70"/>
      <c r="N12" s="70"/>
    </row>
    <row r="13" spans="1:14" ht="15.75" customHeight="1" x14ac:dyDescent="0.2">
      <c r="A13" s="53" t="s">
        <v>541</v>
      </c>
      <c r="B13" s="74"/>
      <c r="C13" s="74"/>
      <c r="D13" s="53"/>
      <c r="E13" s="53"/>
      <c r="F13" s="53"/>
      <c r="G13" s="53"/>
      <c r="H13" s="53"/>
      <c r="I13" s="53"/>
      <c r="J13" s="75"/>
      <c r="K13" s="75"/>
      <c r="L13" s="70"/>
      <c r="M13" s="70"/>
      <c r="N13" s="70"/>
    </row>
    <row r="14" spans="1:14" ht="15" customHeight="1" x14ac:dyDescent="0.2">
      <c r="A14" s="54" t="s">
        <v>542</v>
      </c>
      <c r="B14" s="76" t="s">
        <v>189</v>
      </c>
      <c r="C14" s="76" t="s">
        <v>543</v>
      </c>
      <c r="D14" s="79">
        <f>IF(AKSEN_PLS!B4=0,"",AKSEN_PLS!B6/AKSEN_PLS!B4)</f>
        <v>0.24878263258825922</v>
      </c>
      <c r="E14" s="79">
        <f>IF(AKSEN_PLS!D4=0,"",AKSEN_PLS!D6/AKSEN_PLS!D4)</f>
        <v>0.2113914488593443</v>
      </c>
      <c r="F14" s="79">
        <f>IF(AKSEN_PLS!F4=0,"",AKSEN_PLS!F6/AKSEN_PLS!F4)</f>
        <v>0.20514469685582021</v>
      </c>
      <c r="G14" s="79">
        <f>IF(AKSEN_PLS!H4=0,"",AKSEN_PLS!H6/AKSEN_PLS!H4)</f>
        <v>0.11936756166898643</v>
      </c>
      <c r="H14" s="79">
        <f>IF(AKSEN_PLS!I4=0,"",AKSEN_PLS!I6/AKSEN_PLS!I4)</f>
        <v>0.14968356068771788</v>
      </c>
      <c r="I14" s="79">
        <f>IF(AKSEN_PLS!J4=0,"",AKSEN_PLS!J6/AKSEN_PLS!J4)</f>
        <v>0.16562937769438468</v>
      </c>
      <c r="J14" s="80"/>
      <c r="K14" s="80"/>
      <c r="L14" s="70"/>
      <c r="M14" s="70"/>
      <c r="N14" s="70"/>
    </row>
    <row r="15" spans="1:14" ht="15" customHeight="1" x14ac:dyDescent="0.2">
      <c r="A15" s="54" t="s">
        <v>544</v>
      </c>
      <c r="B15" s="76" t="s">
        <v>192</v>
      </c>
      <c r="C15" s="76" t="s">
        <v>378</v>
      </c>
      <c r="D15" s="79">
        <f>IF(AKSEN_PLS!B4=0,"",AKSEN_PLS!B13/AKSEN_PLS!B4)</f>
        <v>0.30391580914087363</v>
      </c>
      <c r="E15" s="79">
        <f>IF(AKSEN_PLS!D4=0,"",AKSEN_PLS!D13/AKSEN_PLS!D4)</f>
        <v>0.23476336980961995</v>
      </c>
      <c r="F15" s="79">
        <f>IF(AKSEN_PLS!F4=0,"",AKSEN_PLS!F13/AKSEN_PLS!F4)</f>
        <v>0.23672373370864427</v>
      </c>
      <c r="G15" s="79">
        <f>IF(AKSEN_PLS!H4=0,"",AKSEN_PLS!H13/AKSEN_PLS!H4)</f>
        <v>0.14556826146157636</v>
      </c>
      <c r="H15" s="79">
        <f>IF(AKSEN_PLS!I4=0,"",AKSEN_PLS!I13/AKSEN_PLS!I4)</f>
        <v>0.18916850171056743</v>
      </c>
      <c r="I15" s="79">
        <f>IF(AKSEN_PLS!J4=0,"",AKSEN_PLS!J13/AKSEN_PLS!J4)</f>
        <v>0.20856942081975263</v>
      </c>
      <c r="J15" s="80"/>
      <c r="K15" s="80"/>
      <c r="L15" s="70"/>
      <c r="M15" s="70"/>
      <c r="N15" s="70"/>
    </row>
    <row r="16" spans="1:14" ht="15" customHeight="1" x14ac:dyDescent="0.2">
      <c r="A16" s="54" t="s">
        <v>545</v>
      </c>
      <c r="B16" s="76" t="s">
        <v>546</v>
      </c>
      <c r="C16" s="76" t="s">
        <v>547</v>
      </c>
      <c r="D16" s="79">
        <f>IF(AKSEN_PLS!B4=0,"",AKSEN_PLS!B11/AKSEN_PLS!B4)</f>
        <v>0.22636172991428116</v>
      </c>
      <c r="E16" s="79">
        <f>IF(AKSEN_PLS!D4=0,"",AKSEN_PLS!D11/AKSEN_PLS!D4)</f>
        <v>0.17105672714721978</v>
      </c>
      <c r="F16" s="79">
        <f>IF(AKSEN_PLS!F4=0,"",AKSEN_PLS!F11/AKSEN_PLS!F4)</f>
        <v>0.19274171117309874</v>
      </c>
      <c r="G16" s="79">
        <f>IF(AKSEN_PLS!H4=0,"",AKSEN_PLS!H11/AKSEN_PLS!H4)</f>
        <v>0.11769172481217116</v>
      </c>
      <c r="H16" s="79">
        <f>IF(AKSEN_PLS!I4=0,"",AKSEN_PLS!I11/AKSEN_PLS!I4)</f>
        <v>0.14827243527037307</v>
      </c>
      <c r="I16" s="79">
        <f>IF(AKSEN_PLS!J4=0,"",AKSEN_PLS!J11/AKSEN_PLS!J4)</f>
        <v>0.14417622899069737</v>
      </c>
      <c r="J16" s="80"/>
      <c r="K16" s="80"/>
      <c r="L16" s="70"/>
      <c r="M16" s="70"/>
      <c r="N16" s="70"/>
    </row>
    <row r="17" spans="1:14" ht="15" customHeight="1" x14ac:dyDescent="0.2">
      <c r="A17" s="54" t="s">
        <v>548</v>
      </c>
      <c r="B17" s="76" t="s">
        <v>549</v>
      </c>
      <c r="C17" s="76" t="s">
        <v>550</v>
      </c>
      <c r="D17" s="79">
        <f>IF(AKSEN_PLS!B4=0,"",AKSEN_PLS!B27/AKSEN_PLS!B4)</f>
        <v>0.10264265117866062</v>
      </c>
      <c r="E17" s="79">
        <f>IF(AKSEN_PLS!D4=0,"",AKSEN_PLS!D27/AKSEN_PLS!D4)</f>
        <v>9.3187356544902747E-2</v>
      </c>
      <c r="F17" s="79">
        <f>IF(AKSEN_PLS!F4=0,"",AKSEN_PLS!F27/AKSEN_PLS!F4)</f>
        <v>0.17359829936418353</v>
      </c>
      <c r="G17" s="79">
        <f>IF(AKSEN_PLS!H4=0,"",AKSEN_PLS!H27/AKSEN_PLS!H4)</f>
        <v>0.10703891358828438</v>
      </c>
      <c r="H17" s="79">
        <f>IF(AKSEN_PLS!I4=0,"",AKSEN_PLS!I27/AKSEN_PLS!I4)</f>
        <v>0.13213943448556639</v>
      </c>
      <c r="I17" s="79">
        <f>IF(AKSEN_PLS!J4=0,"",AKSEN_PLS!J27/AKSEN_PLS!J4)</f>
        <v>7.7173276102070837E-2</v>
      </c>
      <c r="J17" s="80"/>
      <c r="K17" s="80"/>
      <c r="L17" s="70"/>
      <c r="M17" s="70"/>
      <c r="N17" s="70"/>
    </row>
    <row r="18" spans="1:14" ht="15" customHeight="1" x14ac:dyDescent="0.2">
      <c r="A18" s="54" t="s">
        <v>551</v>
      </c>
      <c r="B18" s="76" t="s">
        <v>552</v>
      </c>
      <c r="C18" s="76" t="s">
        <v>550</v>
      </c>
      <c r="D18" s="79">
        <f>IF(AKSEN_BS!B24=0,"",AKSEN_PLS!B27/AKSEN_BS!B24)</f>
        <v>3.3571461466267237E-2</v>
      </c>
      <c r="E18" s="79">
        <f>IF(AKSEN_BS!D24=0,"",AKSEN_PLS!D27/AKSEN_BS!D24)</f>
        <v>3.5619321812891021E-2</v>
      </c>
      <c r="F18" s="79">
        <f>IF(AKSEN_BS!F24=0,"",AKSEN_PLS!F27/AKSEN_BS!F24)</f>
        <v>0.10941141391255607</v>
      </c>
      <c r="G18" s="79">
        <f>IF(AKSEN_BS!H24=0,"",AKSEN_PLS!H27/AKSEN_BS!H24)</f>
        <v>0.14699619261345526</v>
      </c>
      <c r="H18" s="79">
        <f>IF(AKSEN_BS!I24=0,"",AKSEN_PLS!I27/AKSEN_BS!I24)</f>
        <v>8.8868142661019472E-2</v>
      </c>
      <c r="I18" s="79">
        <f>IF(AKSEN_BS!J24=0,"",AKSEN_PLS!J27/AKSEN_BS!J24)</f>
        <v>5.8720716462089595E-2</v>
      </c>
      <c r="J18" s="80"/>
      <c r="K18" s="80"/>
      <c r="L18" s="70"/>
      <c r="M18" s="70"/>
      <c r="N18" s="70"/>
    </row>
    <row r="19" spans="1:14" ht="15" customHeight="1" x14ac:dyDescent="0.2">
      <c r="A19" s="54" t="s">
        <v>553</v>
      </c>
      <c r="B19" s="76" t="s">
        <v>554</v>
      </c>
      <c r="C19" s="76" t="s">
        <v>202</v>
      </c>
      <c r="D19" s="79">
        <f>IF(AKSEN_BS!B60=0,"",AKSEN_PLS!B27/AKSEN_BS!B60)</f>
        <v>6.6796932636377385E-2</v>
      </c>
      <c r="E19" s="79">
        <f>IF(AKSEN_BS!D60=0,"",AKSEN_PLS!D27/AKSEN_BS!D60)</f>
        <v>6.6208040664502518E-2</v>
      </c>
      <c r="F19" s="79">
        <f>IF(AKSEN_BS!F60=0,"",AKSEN_PLS!F27/AKSEN_BS!F60)</f>
        <v>0.17628788795911124</v>
      </c>
      <c r="G19" s="79">
        <f>IF(AKSEN_BS!H60=0,"",AKSEN_PLS!H27/AKSEN_BS!H60)</f>
        <v>0.25766996463128372</v>
      </c>
      <c r="H19" s="79">
        <f>IF(AKSEN_BS!I60=0,"",AKSEN_PLS!I27/AKSEN_BS!I60)</f>
        <v>0.17337962368086493</v>
      </c>
      <c r="I19" s="79">
        <f>IF(AKSEN_BS!J60=0,"",AKSEN_PLS!J27/AKSEN_BS!J60)</f>
        <v>0.12064073058334027</v>
      </c>
      <c r="J19" s="80"/>
      <c r="K19" s="80"/>
      <c r="L19" s="70"/>
      <c r="M19" s="70"/>
      <c r="N19" s="70"/>
    </row>
    <row r="20" spans="1:14" ht="15.75" customHeight="1" x14ac:dyDescent="0.2">
      <c r="A20" s="53" t="s">
        <v>555</v>
      </c>
      <c r="B20" s="74"/>
      <c r="C20" s="74"/>
      <c r="D20" s="53"/>
      <c r="E20" s="53"/>
      <c r="F20" s="53"/>
      <c r="G20" s="53"/>
      <c r="H20" s="53"/>
      <c r="I20" s="53"/>
      <c r="J20" s="75"/>
      <c r="K20" s="75"/>
      <c r="L20" s="70"/>
      <c r="M20" s="70"/>
      <c r="N20" s="70"/>
    </row>
    <row r="21" spans="1:14" ht="15" customHeight="1" x14ac:dyDescent="0.2">
      <c r="A21" s="54" t="s">
        <v>556</v>
      </c>
      <c r="B21" s="76" t="s">
        <v>557</v>
      </c>
      <c r="C21" s="76" t="s">
        <v>558</v>
      </c>
      <c r="D21" s="77">
        <f>IF(AKSEN_BS!B24=0,"",AKSEN_PLS!B4/AKSEN_BS!B24)</f>
        <v>0.32707126209973364</v>
      </c>
      <c r="E21" s="77">
        <f>IF(AKSEN_BS!D24=0,"",AKSEN_PLS!D4/AKSEN_BS!D24)</f>
        <v>0.38223341806812267</v>
      </c>
      <c r="F21" s="77">
        <f>IF(AKSEN_BS!F24=0,"",AKSEN_PLS!F4/AKSEN_BS!F24)</f>
        <v>0.63025625431403065</v>
      </c>
      <c r="G21" s="77">
        <f>IF(AKSEN_BS!H24=0,"",AKSEN_PLS!H4/AKSEN_BS!H24)</f>
        <v>1.373296754289407</v>
      </c>
      <c r="H21" s="77">
        <f>IF(AKSEN_BS!I24=0,"",AKSEN_PLS!I4/AKSEN_BS!I24)</f>
        <v>0.67253309359914459</v>
      </c>
      <c r="I21" s="77">
        <f>IF(AKSEN_BS!J24=0,"",AKSEN_PLS!J4/AKSEN_BS!J24)</f>
        <v>0.76089443688284608</v>
      </c>
      <c r="J21" s="78"/>
      <c r="K21" s="78"/>
      <c r="L21" s="70"/>
      <c r="M21" s="70"/>
      <c r="N21" s="70"/>
    </row>
    <row r="22" spans="1:14" ht="15" customHeight="1" x14ac:dyDescent="0.2">
      <c r="A22" s="54" t="s">
        <v>559</v>
      </c>
      <c r="B22" s="76" t="s">
        <v>560</v>
      </c>
      <c r="C22" s="76" t="s">
        <v>561</v>
      </c>
      <c r="D22" s="77">
        <f>IF(AKSEN_BS!B7=0,"",AKSEN_PLS!B4/AKSEN_BS!B7)</f>
        <v>5.542020060172673</v>
      </c>
      <c r="E22" s="77">
        <f>IF(AKSEN_BS!D7=0,"",AKSEN_PLS!D4/AKSEN_BS!D7)</f>
        <v>3.1703800108702795</v>
      </c>
      <c r="F22" s="77">
        <f>IF(AKSEN_BS!F7=0,"",AKSEN_PLS!F4/AKSEN_BS!F7)</f>
        <v>2.5995572832267624</v>
      </c>
      <c r="G22" s="77">
        <f>IF(AKSEN_BS!H7=0,"",AKSEN_PLS!H4/AKSEN_BS!H7)</f>
        <v>4.9512818649016053</v>
      </c>
      <c r="H22" s="77">
        <f>IF(AKSEN_BS!I7=0,"",AKSEN_PLS!I4/AKSEN_BS!I7)</f>
        <v>2.6066570139782539</v>
      </c>
      <c r="I22" s="77">
        <f>IF(AKSEN_BS!J7=0,"",AKSEN_PLS!J4/AKSEN_BS!J7)</f>
        <v>2.6724177822458439</v>
      </c>
      <c r="J22" s="78"/>
      <c r="K22" s="78"/>
      <c r="L22" s="70"/>
      <c r="M22" s="70"/>
      <c r="N22" s="70"/>
    </row>
    <row r="23" spans="1:14" ht="15" customHeight="1" x14ac:dyDescent="0.2">
      <c r="A23" s="54" t="s">
        <v>562</v>
      </c>
      <c r="B23" s="76" t="s">
        <v>563</v>
      </c>
      <c r="C23" s="76" t="s">
        <v>564</v>
      </c>
      <c r="D23" s="81">
        <f>IF(AKSEN_BS!B7=0,"",365*AKSEN_BS!B7/AKSEN_PLS!B4)</f>
        <v>65.860461715583853</v>
      </c>
      <c r="E23" s="81">
        <f>IF(AKSEN_BS!D7=0,"",365*AKSEN_BS!D7/AKSEN_PLS!D4)</f>
        <v>115.12815458983616</v>
      </c>
      <c r="F23" s="81">
        <f>IF(AKSEN_BS!F7=0,"",365*AKSEN_BS!F7/AKSEN_PLS!F4)</f>
        <v>140.4085235417221</v>
      </c>
      <c r="G23" s="81">
        <f>IF(AKSEN_BS!H7=0,"",365*AKSEN_BS!H7/AKSEN_PLS!H4)</f>
        <v>73.718283458551099</v>
      </c>
      <c r="H23" s="81">
        <f>IF(AKSEN_BS!I7=0,"",365*AKSEN_BS!I7/AKSEN_PLS!I4)</f>
        <v>140.0260939750338</v>
      </c>
      <c r="I23" s="81">
        <f>IF(AKSEN_BS!J7=0,"",365*AKSEN_BS!J7/AKSEN_PLS!J4)</f>
        <v>136.5804412861157</v>
      </c>
      <c r="J23" s="82"/>
      <c r="K23" s="82"/>
      <c r="L23" s="70"/>
      <c r="M23" s="70"/>
      <c r="N23" s="70"/>
    </row>
    <row r="24" spans="1:14" ht="15.75" customHeight="1" x14ac:dyDescent="0.2">
      <c r="A24" s="53" t="s">
        <v>565</v>
      </c>
      <c r="B24" s="74"/>
      <c r="C24" s="74"/>
      <c r="D24" s="53"/>
      <c r="E24" s="53"/>
      <c r="F24" s="53"/>
      <c r="G24" s="53"/>
      <c r="H24" s="53"/>
      <c r="I24" s="53"/>
      <c r="J24" s="75"/>
      <c r="K24" s="75"/>
      <c r="L24" s="70"/>
      <c r="M24" s="70"/>
      <c r="N24" s="70"/>
    </row>
    <row r="25" spans="1:14" ht="15" customHeight="1" x14ac:dyDescent="0.2">
      <c r="A25" s="54" t="s">
        <v>566</v>
      </c>
      <c r="B25" s="76" t="s">
        <v>567</v>
      </c>
      <c r="C25" s="76" t="s">
        <v>540</v>
      </c>
      <c r="D25" s="77">
        <f>IF(AKSEN_PLS!B27=0,"",AKSEN_CFS!B11/AKSEN_PLS!B27)</f>
        <v>2.7128499650962947</v>
      </c>
      <c r="E25" s="77">
        <f>IF(AKSEN_PLS!D27=0,"",AKSEN_CFS!D11/AKSEN_PLS!D27)</f>
        <v>4.274914884250042</v>
      </c>
      <c r="F25" s="77">
        <f>IF(AKSEN_PLS!F27=0,"",AKSEN_CFS!F11/AKSEN_PLS!F27)</f>
        <v>0.77338677503061004</v>
      </c>
      <c r="G25" s="77">
        <f>IF(AKSEN_PLS!H27=0,"",AKSEN_CFS!H11/AKSEN_PLS!H27)</f>
        <v>0.15733118091680498</v>
      </c>
      <c r="H25" s="77">
        <f>IF(AKSEN_PLS!I27=0,"",AKSEN_CFS!I11/AKSEN_PLS!I27)</f>
        <v>0.82312981516942529</v>
      </c>
      <c r="I25" s="77">
        <f>IF(AKSEN_PLS!J27=0,"",AKSEN_CFS!J11/AKSEN_PLS!J27)</f>
        <v>2.2684330785566438</v>
      </c>
      <c r="J25" s="78"/>
      <c r="K25" s="78"/>
      <c r="L25" s="70"/>
      <c r="M25" s="70"/>
      <c r="N25" s="70"/>
    </row>
    <row r="26" spans="1:14" ht="15" customHeight="1" x14ac:dyDescent="0.2">
      <c r="A26" s="54" t="s">
        <v>232</v>
      </c>
      <c r="B26" s="76" t="s">
        <v>568</v>
      </c>
      <c r="C26" s="76" t="s">
        <v>569</v>
      </c>
      <c r="D26" s="77">
        <f>IF(AKSEN_PLS!B20=0,"",AKSEN_PLS!B13/ABS(AKSEN_PLS!B20))</f>
        <v>2.9684757648137841</v>
      </c>
      <c r="E26" s="77">
        <f>IF(AKSEN_PLS!D20=0,"",AKSEN_PLS!D13/ABS(AKSEN_PLS!D20))</f>
        <v>1.6575789190618644</v>
      </c>
      <c r="F26" s="77">
        <f>IF(AKSEN_PLS!F20=0,"",AKSEN_PLS!F13/ABS(AKSEN_PLS!F20))</f>
        <v>3.2905017732752753</v>
      </c>
      <c r="G26" s="77">
        <f>IF(AKSEN_PLS!H20=0,"",AKSEN_PLS!H13/ABS(AKSEN_PLS!H20))</f>
        <v>5.8863706642731772</v>
      </c>
      <c r="H26" s="77">
        <f>IF(AKSEN_PLS!I20=0,"",AKSEN_PLS!I13/ABS(AKSEN_PLS!I20))</f>
        <v>4.1689113382495533</v>
      </c>
      <c r="I26" s="77">
        <f>IF(AKSEN_PLS!J20=0,"",AKSEN_PLS!J13/ABS(AKSEN_PLS!J20))</f>
        <v>2.2110630049981159</v>
      </c>
      <c r="J26" s="78"/>
      <c r="K26" s="78"/>
      <c r="L26" s="70"/>
      <c r="M26" s="70"/>
      <c r="N26" s="70"/>
    </row>
    <row r="27" spans="1:14" ht="15" customHeight="1" x14ac:dyDescent="0.2">
      <c r="A27" s="54" t="s">
        <v>235</v>
      </c>
      <c r="B27" s="76" t="s">
        <v>570</v>
      </c>
      <c r="C27" s="76"/>
      <c r="D27" s="79">
        <f>IF(AKSEN_PLS!B4=0,"",(AKSEN_CFS!B11+AKSEN_CFS!B18)/AKSEN_PLS!B4)</f>
        <v>-0.21942265191193347</v>
      </c>
      <c r="E27" s="79">
        <f>IF(AKSEN_PLS!D4=0,"",(AKSEN_CFS!D11+AKSEN_CFS!D18)/AKSEN_PLS!D4)</f>
        <v>-0.18972919976155875</v>
      </c>
      <c r="F27" s="79">
        <f>IF(AKSEN_PLS!F4=0,"",(AKSEN_CFS!F11+AKSEN_CFS!F18)/AKSEN_PLS!F4)</f>
        <v>3.0483372164601209E-2</v>
      </c>
      <c r="G27" s="79">
        <f>IF(AKSEN_PLS!H4=0,"",(AKSEN_CFS!H11+AKSEN_CFS!H18)/AKSEN_PLS!H4)</f>
        <v>-2.3693233113547645E-2</v>
      </c>
      <c r="H27" s="79">
        <f>IF(AKSEN_PLS!I4=0,"",(AKSEN_CFS!I11+AKSEN_CFS!I18)/AKSEN_PLS!I4)</f>
        <v>-8.904275550878607E-2</v>
      </c>
      <c r="I27" s="79">
        <f>IF(AKSEN_PLS!J4=0,"",(AKSEN_CFS!J11+AKSEN_CFS!J18)/AKSEN_PLS!J4)</f>
        <v>0.1371269697852735</v>
      </c>
    </row>
    <row r="28" spans="1:14" ht="7.5" customHeight="1" x14ac:dyDescent="0.2">
      <c r="A28" s="83"/>
      <c r="B28" s="84"/>
      <c r="C28" s="84"/>
      <c r="D28" s="83"/>
      <c r="E28" s="83"/>
      <c r="F28" s="83"/>
      <c r="G28" s="83"/>
      <c r="H28" s="83"/>
      <c r="I28" s="83"/>
    </row>
    <row r="29" spans="1:14" ht="15.75" customHeight="1" x14ac:dyDescent="0.2">
      <c r="A29" s="53" t="s">
        <v>571</v>
      </c>
      <c r="B29" s="85"/>
      <c r="C29" s="85"/>
      <c r="D29" s="53"/>
      <c r="E29" s="53"/>
      <c r="F29" s="53"/>
      <c r="G29" s="53"/>
      <c r="H29" s="53"/>
      <c r="I29" s="53"/>
    </row>
    <row r="30" spans="1:14" ht="15" customHeight="1" x14ac:dyDescent="0.2">
      <c r="A30" s="54" t="s">
        <v>572</v>
      </c>
      <c r="B30" s="76" t="s">
        <v>573</v>
      </c>
      <c r="C30" s="76"/>
      <c r="D30" s="86">
        <v>1226</v>
      </c>
      <c r="E30" s="86">
        <v>1226</v>
      </c>
      <c r="F30" s="86">
        <v>1226</v>
      </c>
      <c r="G30" s="86">
        <v>1226</v>
      </c>
      <c r="H30" s="86">
        <v>1226</v>
      </c>
      <c r="I30" s="86">
        <v>1226</v>
      </c>
    </row>
    <row r="31" spans="1:14" ht="15" customHeight="1" x14ac:dyDescent="0.2">
      <c r="A31" s="54" t="s">
        <v>574</v>
      </c>
      <c r="B31" s="76" t="s">
        <v>575</v>
      </c>
      <c r="C31" s="76"/>
      <c r="D31" s="66">
        <f>IFERROR(AKSEN_PLS!B27/D30/1000,"-")</f>
        <v>3.5485652528548126</v>
      </c>
      <c r="E31" s="66">
        <f>IFERROR(AKSEN_PLS!D27/E30/1000,"-")</f>
        <v>2.4048433931484503</v>
      </c>
      <c r="F31" s="66">
        <f>IFERROR(AKSEN_PLS!F27/F30/1000,"-")</f>
        <v>4.9802969004893969</v>
      </c>
      <c r="G31" s="66">
        <f>IFERROR(AKSEN_PLS!H27/G30/1000,"-")</f>
        <v>3.9845448613376835</v>
      </c>
      <c r="H31" s="66">
        <f>IFERROR(AKSEN_PLS!I27/H30/1000,"-")</f>
        <v>1.4968075040783035</v>
      </c>
      <c r="I31" s="66">
        <f>IFERROR(AKSEN_PLS!J27/I30/1000,"-")</f>
        <v>0.45514274061990212</v>
      </c>
    </row>
    <row r="32" spans="1:14" ht="15" customHeight="1" x14ac:dyDescent="0.2">
      <c r="A32" s="54" t="s">
        <v>576</v>
      </c>
      <c r="B32" s="76" t="s">
        <v>577</v>
      </c>
      <c r="C32" s="76"/>
      <c r="D32" s="66">
        <f>IFERROR(AKSEN_BS!B60/D30/1000,"-")</f>
        <v>53.124673735725942</v>
      </c>
      <c r="E32" s="66">
        <f>IFERROR(AKSEN_BS!D60/E30/1000,"-")</f>
        <v>36.3225277324633</v>
      </c>
      <c r="F32" s="66">
        <f>IFERROR(AKSEN_BS!F60/F30/1000,"-")</f>
        <v>28.250930668841761</v>
      </c>
      <c r="G32" s="66">
        <f>IFERROR(AKSEN_BS!H60/G30/1000,"-")</f>
        <v>15.463753670473082</v>
      </c>
      <c r="H32" s="66">
        <f>IFERROR(AKSEN_BS!I60/H30/1000,"-")</f>
        <v>8.6331223491027735</v>
      </c>
      <c r="I32" s="66">
        <f>IFERROR(AKSEN_BS!J60/I30/1000,"-")</f>
        <v>3.7727120717781406</v>
      </c>
    </row>
    <row r="33" spans="1:10" ht="15" customHeight="1" x14ac:dyDescent="0.2">
      <c r="A33" s="54" t="s">
        <v>578</v>
      </c>
      <c r="B33" s="76" t="s">
        <v>579</v>
      </c>
      <c r="C33" s="76"/>
      <c r="D33" s="66">
        <f>IFERROR(AKSEN_CFS!B11/D30/1000,"-")</f>
        <v>9.6267251223491019</v>
      </c>
      <c r="E33" s="66">
        <f>IFERROR(AKSEN_CFS!D11/E30/1000,"-")</f>
        <v>10.280500815660686</v>
      </c>
      <c r="F33" s="66">
        <f>IFERROR(AKSEN_CFS!F11/F30/1000,"-")</f>
        <v>3.8516957585644374</v>
      </c>
      <c r="G33" s="66">
        <f>IFERROR(AKSEN_CFS!H11/G30/1000,"-")</f>
        <v>0.62689314845024469</v>
      </c>
      <c r="H33" s="66">
        <f>IFERROR(AKSEN_CFS!I11/H30/1000,"-")</f>
        <v>1.2320668841761826</v>
      </c>
      <c r="I33" s="66">
        <f>IFERROR(AKSEN_CFS!J11/I30/1000,"-")</f>
        <v>1.0324608482871127</v>
      </c>
    </row>
    <row r="34" spans="1:10" ht="15" customHeight="1" x14ac:dyDescent="0.2">
      <c r="A34" s="54" t="s">
        <v>580</v>
      </c>
      <c r="B34" s="76" t="s">
        <v>581</v>
      </c>
      <c r="C34" s="76"/>
      <c r="D34" s="66">
        <f>IFERROR(ABS(AKSEN_CFS!B26)/D30/1000,"-")</f>
        <v>0</v>
      </c>
      <c r="E34" s="66">
        <f>IFERROR(ABS(AKSEN_CFS!D26)/E30/1000,"-")</f>
        <v>1.5090326264274063</v>
      </c>
      <c r="F34" s="66">
        <f>IFERROR(ABS(AKSEN_CFS!F26)/F30/1000,"-")</f>
        <v>1.2011150081566069</v>
      </c>
      <c r="G34" s="66">
        <f>IFERROR(ABS(AKSEN_CFS!H26)/G30/1000,"-")</f>
        <v>0.57094453507340948</v>
      </c>
      <c r="H34" s="66">
        <f>IFERROR(ABS(AKSEN_CFS!I26)/H30/1000,"-")</f>
        <v>0.48367292006525286</v>
      </c>
      <c r="I34" s="66">
        <f>IFERROR(ABS(AKSEN_CFS!J26)/I30/1000,"-")</f>
        <v>0</v>
      </c>
    </row>
    <row r="35" spans="1:10" ht="7.5" customHeight="1" x14ac:dyDescent="0.2">
      <c r="A35" s="83"/>
      <c r="B35" s="84"/>
      <c r="C35" s="84"/>
      <c r="D35" s="83"/>
      <c r="E35" s="83"/>
      <c r="F35" s="83"/>
      <c r="G35" s="83"/>
      <c r="H35" s="83"/>
      <c r="I35" s="83"/>
    </row>
    <row r="36" spans="1:10" ht="15.75" customHeight="1" x14ac:dyDescent="0.2">
      <c r="A36" s="53" t="s">
        <v>582</v>
      </c>
      <c r="B36" s="85" t="s">
        <v>583</v>
      </c>
      <c r="C36" s="85"/>
      <c r="D36" s="53"/>
      <c r="E36" s="53"/>
      <c r="F36" s="53"/>
      <c r="G36" s="53"/>
      <c r="H36" s="53"/>
      <c r="I36" s="53"/>
    </row>
    <row r="37" spans="1:10" ht="15" customHeight="1" x14ac:dyDescent="0.2">
      <c r="A37" s="54" t="s">
        <v>584</v>
      </c>
      <c r="B37" s="76" t="s">
        <v>585</v>
      </c>
      <c r="C37" s="76"/>
      <c r="D37" s="87">
        <v>72.5</v>
      </c>
      <c r="E37" s="87">
        <v>39.200000000000003</v>
      </c>
      <c r="F37" s="87">
        <v>29.74</v>
      </c>
      <c r="G37" s="87">
        <v>45.655999999999999</v>
      </c>
      <c r="H37" s="87">
        <v>9.5069999999999997</v>
      </c>
      <c r="I37" s="87">
        <v>3.54</v>
      </c>
      <c r="J37" t="s">
        <v>586</v>
      </c>
    </row>
    <row r="38" spans="1:10" ht="15" customHeight="1" x14ac:dyDescent="0.2">
      <c r="A38" s="54" t="s">
        <v>587</v>
      </c>
      <c r="B38" s="76" t="s">
        <v>588</v>
      </c>
      <c r="C38" s="76"/>
      <c r="D38" s="88">
        <f t="shared" ref="D38:I38" si="0">IFERROR(D37*D30*1000,"-")</f>
        <v>88885000</v>
      </c>
      <c r="E38" s="88">
        <f t="shared" si="0"/>
        <v>48059200.000000007</v>
      </c>
      <c r="F38" s="88">
        <f t="shared" si="0"/>
        <v>36461240</v>
      </c>
      <c r="G38" s="88">
        <f t="shared" si="0"/>
        <v>55974256</v>
      </c>
      <c r="H38" s="88">
        <f t="shared" si="0"/>
        <v>11655582</v>
      </c>
      <c r="I38" s="88">
        <f t="shared" si="0"/>
        <v>4340040</v>
      </c>
    </row>
    <row r="39" spans="1:10" ht="15" customHeight="1" x14ac:dyDescent="0.2">
      <c r="A39" s="54" t="s">
        <v>589</v>
      </c>
      <c r="B39" s="76" t="s">
        <v>590</v>
      </c>
      <c r="C39" s="76" t="s">
        <v>591</v>
      </c>
      <c r="D39" s="89">
        <f>IFERROR(D38/AKSEN_PLS!B27,"-")</f>
        <v>20.430792400301481</v>
      </c>
      <c r="E39" s="89">
        <f>IFERROR(E38/AKSEN_PLS!D27,"-")</f>
        <v>16.300437738142644</v>
      </c>
      <c r="F39" s="89">
        <f>IFERROR(F38/AKSEN_PLS!F27,"-")</f>
        <v>5.9715315360169701</v>
      </c>
      <c r="G39" s="89">
        <f>IFERROR(G38/AKSEN_PLS!H27,"-")</f>
        <v>11.458272296794384</v>
      </c>
      <c r="H39" s="89">
        <f>IFERROR(H38/AKSEN_PLS!I27,"-")</f>
        <v>6.351518130485438</v>
      </c>
      <c r="I39" s="89">
        <f>IFERROR(I38/AKSEN_PLS!J27,"-")</f>
        <v>7.777779768998486</v>
      </c>
    </row>
    <row r="40" spans="1:10" ht="15" customHeight="1" x14ac:dyDescent="0.2">
      <c r="A40" s="54" t="s">
        <v>592</v>
      </c>
      <c r="B40" s="76" t="s">
        <v>593</v>
      </c>
      <c r="C40" s="76" t="s">
        <v>594</v>
      </c>
      <c r="D40" s="89">
        <f>IFERROR(D38/AKSEN_BS!B60,"-")</f>
        <v>1.364714263670749</v>
      </c>
      <c r="E40" s="89">
        <f>IFERROR(E38/AKSEN_BS!D60,"-")</f>
        <v>1.0792200446161395</v>
      </c>
      <c r="F40" s="89">
        <f>IFERROR(F38/AKSEN_BS!F60,"-")</f>
        <v>1.0527086823656591</v>
      </c>
      <c r="G40" s="89">
        <f>IFERROR(G38/AKSEN_BS!H60,"-")</f>
        <v>2.9524526174506271</v>
      </c>
      <c r="H40" s="89">
        <f>IFERROR(H38/AKSEN_BS!I60,"-")</f>
        <v>1.1012238232657559</v>
      </c>
      <c r="I40" s="89">
        <f>IFERROR(I38/AKSEN_BS!J60,"-")</f>
        <v>0.93831703364830088</v>
      </c>
    </row>
    <row r="41" spans="1:10" ht="15" customHeight="1" x14ac:dyDescent="0.2">
      <c r="A41" s="54" t="s">
        <v>595</v>
      </c>
      <c r="B41" s="76" t="s">
        <v>263</v>
      </c>
      <c r="C41" s="76" t="s">
        <v>596</v>
      </c>
      <c r="D41" s="89">
        <f>IFERROR((D38+(AKSEN_BS!B28+AKSEN_BS!B29+AKSEN_BS!B41-AKSEN_BS!B5))/AKSEN_PLS!B13,"-")</f>
        <v>10.591294599484675</v>
      </c>
      <c r="E41" s="89">
        <f>IFERROR((E38+(AKSEN_BS!D28+AKSEN_BS!D29+AKSEN_BS!D41-AKSEN_BS!D5))/AKSEN_PLS!D13,"-")</f>
        <v>10.092245904349648</v>
      </c>
      <c r="F41" s="89">
        <f>IFERROR((F38+(AKSEN_BS!F28+AKSEN_BS!F29+AKSEN_BS!F41-AKSEN_BS!F5))/AKSEN_PLS!F13,"-")</f>
        <v>5.8748991725785924</v>
      </c>
      <c r="G41" s="89">
        <f>IFERROR((G38+(AKSEN_BS!H28+AKSEN_BS!H29+AKSEN_BS!H41-AKSEN_BS!H5))/AKSEN_PLS!H13,"-")</f>
        <v>9.5667348239425909</v>
      </c>
      <c r="H41" s="89">
        <f>IFERROR((H38+(AKSEN_BS!I28+AKSEN_BS!I29+AKSEN_BS!I41-AKSEN_BS!I5))/AKSEN_PLS!I13,"-")</f>
        <v>6.3628846813397555</v>
      </c>
      <c r="I41" s="89">
        <f>IFERROR((I38+(AKSEN_BS!J28+AKSEN_BS!J29+AKSEN_BS!J41-AKSEN_BS!J5))/AKSEN_PLS!J13,"-")</f>
        <v>4.5633189684040074</v>
      </c>
    </row>
    <row r="42" spans="1:10" ht="15" customHeight="1" x14ac:dyDescent="0.2">
      <c r="A42" s="54" t="s">
        <v>597</v>
      </c>
      <c r="B42" s="76" t="s">
        <v>598</v>
      </c>
      <c r="C42" s="76" t="s">
        <v>599</v>
      </c>
      <c r="D42" s="90">
        <f t="shared" ref="D42:I42" si="1">IFERROR(D34/D37,"-")</f>
        <v>0</v>
      </c>
      <c r="E42" s="90">
        <f t="shared" si="1"/>
        <v>3.8495730266005258E-2</v>
      </c>
      <c r="F42" s="90">
        <f t="shared" si="1"/>
        <v>4.0387189245346566E-2</v>
      </c>
      <c r="G42" s="90">
        <f t="shared" si="1"/>
        <v>1.2505356033673767E-2</v>
      </c>
      <c r="H42" s="90">
        <f t="shared" si="1"/>
        <v>5.0875451779241916E-2</v>
      </c>
      <c r="I42" s="90">
        <f t="shared" si="1"/>
        <v>0</v>
      </c>
    </row>
    <row r="43" spans="1:10" ht="15" customHeight="1" x14ac:dyDescent="0.2">
      <c r="A43" s="54" t="s">
        <v>600</v>
      </c>
      <c r="B43" s="76" t="s">
        <v>601</v>
      </c>
      <c r="C43" s="76" t="s">
        <v>602</v>
      </c>
      <c r="D43" s="89">
        <f>IFERROR(D38/AKSEN_CFS!B11,"-")</f>
        <v>7.5311177039517077</v>
      </c>
      <c r="E43" s="89">
        <f>IFERROR(E38/AKSEN_CFS!D11,"-")</f>
        <v>3.8130438101113837</v>
      </c>
      <c r="F43" s="89">
        <f>IFERROR(F38/AKSEN_CFS!F11,"-")</f>
        <v>7.7212744370766124</v>
      </c>
      <c r="G43" s="89">
        <f>IFERROR(G38/AKSEN_CFS!H11,"-")</f>
        <v>72.828998231783402</v>
      </c>
      <c r="H43" s="89">
        <f>IFERROR(H38/AKSEN_CFS!I11,"-")</f>
        <v>7.7163018681058233</v>
      </c>
      <c r="I43" s="89">
        <f>IFERROR(I38/AKSEN_CFS!J11,"-")</f>
        <v>3.4287014426483866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1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47" sqref="L47"/>
    </sheetView>
  </sheetViews>
  <sheetFormatPr baseColWidth="10" defaultColWidth="8.6640625" defaultRowHeight="15" x14ac:dyDescent="0.2"/>
  <cols>
    <col min="1" max="1" width="56" customWidth="1"/>
    <col min="2" max="11" width="15" customWidth="1"/>
    <col min="12" max="12" width="3" customWidth="1"/>
    <col min="13" max="23" width="15" customWidth="1"/>
  </cols>
  <sheetData>
    <row r="1" spans="1:23" ht="21.75" customHeight="1" x14ac:dyDescent="0.2">
      <c r="A1" s="258" t="s">
        <v>603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91"/>
      <c r="M1" s="254" t="s">
        <v>275</v>
      </c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 spans="1:23" ht="27.75" customHeight="1" x14ac:dyDescent="0.2">
      <c r="A2" s="92" t="s">
        <v>2</v>
      </c>
      <c r="B2" s="93" t="s">
        <v>604</v>
      </c>
      <c r="C2" s="93" t="s">
        <v>605</v>
      </c>
      <c r="D2" s="93" t="s">
        <v>606</v>
      </c>
      <c r="E2" s="93" t="s">
        <v>607</v>
      </c>
      <c r="F2" s="93" t="s">
        <v>608</v>
      </c>
      <c r="G2" s="93" t="s">
        <v>609</v>
      </c>
      <c r="H2" s="93" t="s">
        <v>610</v>
      </c>
      <c r="I2" s="93" t="s">
        <v>611</v>
      </c>
      <c r="J2" s="93" t="s">
        <v>612</v>
      </c>
      <c r="K2" s="93" t="s">
        <v>613</v>
      </c>
      <c r="L2" s="94"/>
      <c r="M2" s="95" t="s">
        <v>604</v>
      </c>
      <c r="N2" s="7" t="s">
        <v>605</v>
      </c>
      <c r="O2" s="7" t="s">
        <v>606</v>
      </c>
      <c r="P2" s="7" t="s">
        <v>607</v>
      </c>
      <c r="Q2" s="7" t="s">
        <v>608</v>
      </c>
      <c r="R2" s="7" t="s">
        <v>609</v>
      </c>
      <c r="S2" s="7" t="s">
        <v>610</v>
      </c>
      <c r="T2" s="7" t="s">
        <v>611</v>
      </c>
      <c r="U2" s="7" t="s">
        <v>612</v>
      </c>
      <c r="V2" s="7" t="s">
        <v>613</v>
      </c>
      <c r="W2" s="7" t="s">
        <v>604</v>
      </c>
    </row>
    <row r="3" spans="1:23" ht="15.75" customHeight="1" x14ac:dyDescent="0.2">
      <c r="A3" s="257" t="s">
        <v>276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23" ht="15.75" customHeight="1" x14ac:dyDescent="0.2">
      <c r="A4" s="257" t="s">
        <v>277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</row>
    <row r="5" spans="1:23" ht="15" customHeight="1" x14ac:dyDescent="0.2">
      <c r="A5" s="96" t="s">
        <v>410</v>
      </c>
      <c r="B5" s="97">
        <v>4179032</v>
      </c>
      <c r="C5" s="97">
        <v>12418859</v>
      </c>
      <c r="D5" s="98">
        <v>9487867</v>
      </c>
      <c r="E5" s="97">
        <v>6498842</v>
      </c>
      <c r="F5" s="98">
        <v>4501245</v>
      </c>
      <c r="G5" s="97">
        <v>13793119</v>
      </c>
      <c r="H5" s="99">
        <v>8370987</v>
      </c>
      <c r="I5" s="100">
        <v>411992</v>
      </c>
      <c r="J5" s="101">
        <v>588571</v>
      </c>
      <c r="K5" s="101">
        <v>469786</v>
      </c>
      <c r="L5" s="102"/>
      <c r="M5" s="103">
        <f t="shared" ref="M5:W5" si="0">IFERROR(B5/B25,"")</f>
        <v>1.751493639832119E-2</v>
      </c>
      <c r="N5" s="10">
        <f t="shared" si="0"/>
        <v>5.2782984826804304E-2</v>
      </c>
      <c r="O5" s="10">
        <f t="shared" si="0"/>
        <v>5.2782984601182859E-2</v>
      </c>
      <c r="P5" s="10">
        <f t="shared" si="0"/>
        <v>3.4076675432487123E-2</v>
      </c>
      <c r="Q5" s="10">
        <f t="shared" si="0"/>
        <v>3.4076677238315353E-2</v>
      </c>
      <c r="R5" s="10">
        <f t="shared" si="0"/>
        <v>0.10937850973879039</v>
      </c>
      <c r="S5" s="10">
        <f t="shared" si="0"/>
        <v>0.14145688242707874</v>
      </c>
      <c r="T5" s="10">
        <f t="shared" si="0"/>
        <v>1.3096810098701322E-2</v>
      </c>
      <c r="U5" s="10">
        <f t="shared" si="0"/>
        <v>2.3842942534218901E-2</v>
      </c>
      <c r="V5" s="10">
        <f t="shared" si="0"/>
        <v>1.9997277428734909E-2</v>
      </c>
      <c r="W5" s="10" t="str">
        <f t="shared" si="0"/>
        <v/>
      </c>
    </row>
    <row r="6" spans="1:23" ht="15" customHeight="1" x14ac:dyDescent="0.2">
      <c r="A6" s="96" t="s">
        <v>614</v>
      </c>
      <c r="B6" s="97">
        <v>10909842</v>
      </c>
      <c r="C6" s="97">
        <v>11349538</v>
      </c>
      <c r="D6" s="104">
        <v>8670918</v>
      </c>
      <c r="E6" s="97">
        <v>8604215</v>
      </c>
      <c r="F6" s="105">
        <v>5959474</v>
      </c>
      <c r="G6" s="97">
        <v>5507378</v>
      </c>
      <c r="H6" s="106">
        <v>3342405</v>
      </c>
      <c r="I6" s="101">
        <v>3316298</v>
      </c>
      <c r="J6" s="101">
        <v>2348112</v>
      </c>
      <c r="K6" s="101">
        <v>1098550</v>
      </c>
      <c r="L6" s="102"/>
      <c r="M6" s="103">
        <f t="shared" ref="M6:W6" si="1">IFERROR(B6/B25,"")</f>
        <v>4.5724748876230965E-2</v>
      </c>
      <c r="N6" s="10">
        <f t="shared" si="1"/>
        <v>4.8238126549728831E-2</v>
      </c>
      <c r="O6" s="10">
        <f t="shared" si="1"/>
        <v>4.823812678572742E-2</v>
      </c>
      <c r="P6" s="10">
        <f t="shared" si="1"/>
        <v>4.5116197917465482E-2</v>
      </c>
      <c r="Q6" s="10">
        <f t="shared" si="1"/>
        <v>4.5116200519663377E-2</v>
      </c>
      <c r="R6" s="10">
        <f t="shared" si="1"/>
        <v>4.3673138628630689E-2</v>
      </c>
      <c r="S6" s="10">
        <f t="shared" si="1"/>
        <v>5.6481534508258123E-2</v>
      </c>
      <c r="T6" s="10">
        <f t="shared" si="1"/>
        <v>0.10542176823021562</v>
      </c>
      <c r="U6" s="10">
        <f t="shared" si="1"/>
        <v>9.5121743137038375E-2</v>
      </c>
      <c r="V6" s="10">
        <f t="shared" si="1"/>
        <v>4.6761736448801654E-2</v>
      </c>
      <c r="W6" s="10" t="str">
        <f t="shared" si="1"/>
        <v/>
      </c>
    </row>
    <row r="7" spans="1:23" ht="15" customHeight="1" x14ac:dyDescent="0.2">
      <c r="A7" s="96" t="s">
        <v>412</v>
      </c>
      <c r="B7" s="97">
        <v>34154629</v>
      </c>
      <c r="C7" s="97">
        <v>26770396</v>
      </c>
      <c r="D7" s="105">
        <v>20452278</v>
      </c>
      <c r="E7" s="97">
        <v>22426444</v>
      </c>
      <c r="F7" s="105">
        <v>15533062</v>
      </c>
      <c r="G7" s="97">
        <v>9371510</v>
      </c>
      <c r="H7" s="106">
        <v>5687530</v>
      </c>
      <c r="I7" s="101">
        <v>5572805</v>
      </c>
      <c r="J7" s="101">
        <v>2943668</v>
      </c>
      <c r="K7" s="101">
        <v>3009455</v>
      </c>
      <c r="L7" s="102"/>
      <c r="M7" s="103">
        <f t="shared" ref="M7:W7" si="2">IFERROR(B7/B25,"")</f>
        <v>0.14314706244011927</v>
      </c>
      <c r="N7" s="10">
        <f t="shared" si="2"/>
        <v>0.11378029220522938</v>
      </c>
      <c r="O7" s="10">
        <f t="shared" si="2"/>
        <v>0.11378029168548746</v>
      </c>
      <c r="P7" s="10">
        <f t="shared" si="2"/>
        <v>0.11759305016075915</v>
      </c>
      <c r="Q7" s="10">
        <f t="shared" si="2"/>
        <v>0.11759305265470803</v>
      </c>
      <c r="R7" s="10">
        <f t="shared" si="2"/>
        <v>7.4315446549991448E-2</v>
      </c>
      <c r="S7" s="10">
        <f t="shared" si="2"/>
        <v>9.6110561694873392E-2</v>
      </c>
      <c r="T7" s="10">
        <f t="shared" si="2"/>
        <v>0.17715384959439312</v>
      </c>
      <c r="U7" s="10">
        <f t="shared" si="2"/>
        <v>0.11924764720623185</v>
      </c>
      <c r="V7" s="10">
        <f t="shared" si="2"/>
        <v>0.12810280967141086</v>
      </c>
      <c r="W7" s="10" t="str">
        <f t="shared" si="2"/>
        <v/>
      </c>
    </row>
    <row r="8" spans="1:23" ht="15" customHeight="1" x14ac:dyDescent="0.2">
      <c r="A8" s="96" t="s">
        <v>413</v>
      </c>
      <c r="B8" s="97">
        <v>11720559</v>
      </c>
      <c r="C8" s="97">
        <v>8144519</v>
      </c>
      <c r="D8" s="105">
        <v>6222320</v>
      </c>
      <c r="E8" s="97">
        <v>7912888</v>
      </c>
      <c r="F8" s="105">
        <v>5480645</v>
      </c>
      <c r="G8" s="97">
        <v>3068579</v>
      </c>
      <c r="H8" s="106">
        <v>1862308</v>
      </c>
      <c r="I8" s="101">
        <v>1193566</v>
      </c>
      <c r="J8" s="101">
        <v>588922</v>
      </c>
      <c r="K8" s="101">
        <v>1022446</v>
      </c>
      <c r="L8" s="102"/>
      <c r="M8" s="103">
        <f t="shared" ref="M8:W8" si="3">IFERROR(B8/B25,"")</f>
        <v>4.912258279854545E-2</v>
      </c>
      <c r="N8" s="10">
        <f t="shared" si="3"/>
        <v>3.4616064390345314E-2</v>
      </c>
      <c r="O8" s="10">
        <f t="shared" si="3"/>
        <v>3.4616064995813295E-2</v>
      </c>
      <c r="P8" s="10">
        <f t="shared" si="3"/>
        <v>4.149122506896185E-2</v>
      </c>
      <c r="Q8" s="10">
        <f t="shared" si="3"/>
        <v>4.1491225366045811E-2</v>
      </c>
      <c r="R8" s="10">
        <f t="shared" si="3"/>
        <v>2.433362592142848E-2</v>
      </c>
      <c r="S8" s="10">
        <f t="shared" si="3"/>
        <v>3.1470158035009271E-2</v>
      </c>
      <c r="T8" s="10">
        <f t="shared" si="3"/>
        <v>3.7942259175582395E-2</v>
      </c>
      <c r="U8" s="10">
        <f t="shared" si="3"/>
        <v>2.3857161503263436E-2</v>
      </c>
      <c r="V8" s="10">
        <f t="shared" si="3"/>
        <v>4.3522234204297898E-2</v>
      </c>
      <c r="W8" s="10" t="str">
        <f t="shared" si="3"/>
        <v/>
      </c>
    </row>
    <row r="9" spans="1:23" ht="15" customHeight="1" x14ac:dyDescent="0.2">
      <c r="A9" s="96" t="s">
        <v>414</v>
      </c>
      <c r="B9" s="97">
        <v>0</v>
      </c>
      <c r="C9" s="97">
        <v>12559</v>
      </c>
      <c r="D9" s="105">
        <v>9595</v>
      </c>
      <c r="E9" s="97">
        <v>823203</v>
      </c>
      <c r="F9" s="105">
        <v>570169</v>
      </c>
      <c r="G9" s="97">
        <v>386564</v>
      </c>
      <c r="H9" s="106">
        <v>234604</v>
      </c>
      <c r="I9" s="101">
        <v>1548306</v>
      </c>
      <c r="J9" s="101">
        <v>36066</v>
      </c>
      <c r="K9" s="101">
        <v>7829</v>
      </c>
      <c r="L9" s="102"/>
      <c r="M9" s="103">
        <f t="shared" ref="M9:W9" si="4">IFERROR(B9/B25,"")</f>
        <v>0</v>
      </c>
      <c r="N9" s="10">
        <f t="shared" si="4"/>
        <v>5.3378616058032004E-5</v>
      </c>
      <c r="O9" s="10">
        <f t="shared" si="4"/>
        <v>5.3378987842931346E-5</v>
      </c>
      <c r="P9" s="10">
        <f t="shared" si="4"/>
        <v>4.3164646018551767E-3</v>
      </c>
      <c r="Q9" s="10">
        <f t="shared" si="4"/>
        <v>4.3164646635082135E-3</v>
      </c>
      <c r="R9" s="10">
        <f t="shared" si="4"/>
        <v>3.065426626034747E-3</v>
      </c>
      <c r="S9" s="10">
        <f t="shared" si="4"/>
        <v>3.9644489287729611E-3</v>
      </c>
      <c r="T9" s="10">
        <f t="shared" si="4"/>
        <v>4.9219085945066528E-2</v>
      </c>
      <c r="U9" s="10">
        <f t="shared" si="4"/>
        <v>1.461029451738429E-3</v>
      </c>
      <c r="V9" s="10">
        <f t="shared" si="4"/>
        <v>3.3325532261405322E-4</v>
      </c>
      <c r="W9" s="10" t="str">
        <f t="shared" si="4"/>
        <v/>
      </c>
    </row>
    <row r="10" spans="1:23" ht="15" customHeight="1" x14ac:dyDescent="0.2">
      <c r="A10" s="96" t="s">
        <v>415</v>
      </c>
      <c r="B10" s="97">
        <v>3550757</v>
      </c>
      <c r="C10" s="97">
        <v>5044294</v>
      </c>
      <c r="D10" s="105">
        <v>3853783</v>
      </c>
      <c r="E10" s="97">
        <v>5698047</v>
      </c>
      <c r="F10" s="105">
        <v>3946596</v>
      </c>
      <c r="G10" s="97">
        <v>3099626</v>
      </c>
      <c r="H10" s="106">
        <v>1562338</v>
      </c>
      <c r="I10" s="101">
        <v>447450</v>
      </c>
      <c r="J10" s="101">
        <v>169539</v>
      </c>
      <c r="K10" s="101">
        <v>131953</v>
      </c>
      <c r="L10" s="102"/>
      <c r="M10" s="103">
        <f t="shared" ref="M10:W10" si="5">IFERROR(B10/B25,"")</f>
        <v>1.4881743671954115E-2</v>
      </c>
      <c r="N10" s="10">
        <f t="shared" si="5"/>
        <v>2.1439400645738873E-2</v>
      </c>
      <c r="O10" s="10">
        <f t="shared" si="5"/>
        <v>2.143939926068739E-2</v>
      </c>
      <c r="P10" s="10">
        <f t="shared" si="5"/>
        <v>2.9877707169686071E-2</v>
      </c>
      <c r="Q10" s="10">
        <f t="shared" si="5"/>
        <v>2.9877706741585148E-2</v>
      </c>
      <c r="R10" s="10">
        <f t="shared" si="5"/>
        <v>2.4579826551747133E-2</v>
      </c>
      <c r="S10" s="10">
        <f t="shared" si="5"/>
        <v>2.6401123640182139E-2</v>
      </c>
      <c r="T10" s="10">
        <f t="shared" si="5"/>
        <v>1.4223984151789127E-2</v>
      </c>
      <c r="U10" s="10">
        <f t="shared" si="5"/>
        <v>6.8680051078101679E-3</v>
      </c>
      <c r="V10" s="10">
        <f t="shared" si="5"/>
        <v>5.6168143549485457E-3</v>
      </c>
      <c r="W10" s="10" t="str">
        <f t="shared" si="5"/>
        <v/>
      </c>
    </row>
    <row r="11" spans="1:23" ht="15" customHeight="1" x14ac:dyDescent="0.2">
      <c r="A11" s="96" t="s">
        <v>615</v>
      </c>
      <c r="B11" s="97">
        <v>1435120</v>
      </c>
      <c r="C11" s="97">
        <v>1613561</v>
      </c>
      <c r="D11" s="105">
        <v>1232742</v>
      </c>
      <c r="E11" s="97">
        <v>3412288</v>
      </c>
      <c r="F11" s="105">
        <v>2363428</v>
      </c>
      <c r="G11" s="97">
        <v>1456234</v>
      </c>
      <c r="H11" s="106">
        <v>862178</v>
      </c>
      <c r="I11" s="101">
        <v>252658</v>
      </c>
      <c r="J11" s="101">
        <v>44126</v>
      </c>
      <c r="K11" s="101">
        <v>41534</v>
      </c>
      <c r="L11" s="102"/>
      <c r="M11" s="103">
        <f t="shared" ref="M11:W11" si="6">IFERROR(B11/B25,"")</f>
        <v>6.0147985284531693E-3</v>
      </c>
      <c r="N11" s="10">
        <f t="shared" si="6"/>
        <v>6.8580024767269827E-3</v>
      </c>
      <c r="O11" s="10">
        <f t="shared" si="6"/>
        <v>6.8580010663335982E-3</v>
      </c>
      <c r="P11" s="10">
        <f t="shared" si="6"/>
        <v>1.7892330765722667E-2</v>
      </c>
      <c r="Q11" s="10">
        <f t="shared" si="6"/>
        <v>1.7892332706172888E-2</v>
      </c>
      <c r="R11" s="10">
        <f t="shared" si="6"/>
        <v>1.1547838074257003E-2</v>
      </c>
      <c r="S11" s="10">
        <f t="shared" si="6"/>
        <v>1.4569490070551286E-2</v>
      </c>
      <c r="T11" s="10">
        <f t="shared" si="6"/>
        <v>8.0317429608285553E-3</v>
      </c>
      <c r="U11" s="10">
        <f t="shared" si="6"/>
        <v>1.7875391112795963E-3</v>
      </c>
      <c r="V11" s="10">
        <f t="shared" si="6"/>
        <v>1.7679686510987465E-3</v>
      </c>
      <c r="W11" s="10" t="str">
        <f t="shared" si="6"/>
        <v/>
      </c>
    </row>
    <row r="12" spans="1:23" ht="15" customHeight="1" x14ac:dyDescent="0.2">
      <c r="A12" s="96" t="s">
        <v>418</v>
      </c>
      <c r="B12" s="97">
        <v>823196</v>
      </c>
      <c r="C12" s="97">
        <v>1911026</v>
      </c>
      <c r="D12" s="105">
        <v>1460002</v>
      </c>
      <c r="E12" s="97">
        <v>3366011</v>
      </c>
      <c r="F12" s="105">
        <v>2331375</v>
      </c>
      <c r="G12" s="97">
        <v>112146</v>
      </c>
      <c r="H12" s="107">
        <v>68061</v>
      </c>
      <c r="I12" s="101">
        <v>52554</v>
      </c>
      <c r="J12" s="101">
        <v>7758</v>
      </c>
      <c r="K12" s="101">
        <v>247</v>
      </c>
      <c r="L12" s="102"/>
      <c r="M12" s="103">
        <f t="shared" ref="M12:W12" si="7">IFERROR(B12/B25,"")</f>
        <v>3.4501352426476776E-3</v>
      </c>
      <c r="N12" s="10">
        <f t="shared" si="7"/>
        <v>8.1222966104719067E-3</v>
      </c>
      <c r="O12" s="10">
        <f t="shared" si="7"/>
        <v>8.1222958841746171E-3</v>
      </c>
      <c r="P12" s="10">
        <f t="shared" si="7"/>
        <v>1.7649677334697692E-2</v>
      </c>
      <c r="Q12" s="10">
        <f t="shared" si="7"/>
        <v>1.7649675455674477E-2</v>
      </c>
      <c r="R12" s="10">
        <f t="shared" si="7"/>
        <v>8.8931026790723593E-4</v>
      </c>
      <c r="S12" s="10">
        <f t="shared" si="7"/>
        <v>1.150126845839016E-3</v>
      </c>
      <c r="T12" s="10">
        <f t="shared" si="7"/>
        <v>1.6706386481464427E-3</v>
      </c>
      <c r="U12" s="10">
        <f t="shared" si="7"/>
        <v>3.1427567477920293E-4</v>
      </c>
      <c r="V12" s="10">
        <f t="shared" si="7"/>
        <v>1.0513994722911118E-5</v>
      </c>
      <c r="W12" s="10" t="str">
        <f t="shared" si="7"/>
        <v/>
      </c>
    </row>
    <row r="13" spans="1:23" ht="15.75" customHeight="1" x14ac:dyDescent="0.2">
      <c r="A13" s="108" t="s">
        <v>56</v>
      </c>
      <c r="B13" s="109">
        <f t="shared" ref="B13:K13" si="8">IFERROR(B5+B6+B7+B8+B9+B10+B11+B12,"")</f>
        <v>66773135</v>
      </c>
      <c r="C13" s="109">
        <f t="shared" si="8"/>
        <v>67264752</v>
      </c>
      <c r="D13" s="110">
        <f t="shared" si="8"/>
        <v>51389505</v>
      </c>
      <c r="E13" s="109">
        <f t="shared" si="8"/>
        <v>58741938</v>
      </c>
      <c r="F13" s="110">
        <f t="shared" si="8"/>
        <v>40685994</v>
      </c>
      <c r="G13" s="109">
        <f t="shared" si="8"/>
        <v>36795156</v>
      </c>
      <c r="H13" s="111">
        <f t="shared" si="8"/>
        <v>21990411</v>
      </c>
      <c r="I13" s="112">
        <f t="shared" si="8"/>
        <v>12795629</v>
      </c>
      <c r="J13" s="112">
        <f t="shared" si="8"/>
        <v>6726762</v>
      </c>
      <c r="K13" s="112">
        <f t="shared" si="8"/>
        <v>5781800</v>
      </c>
      <c r="L13" s="113"/>
      <c r="M13" s="114">
        <f t="shared" ref="M13:W13" si="9">IFERROR(B13/B25,"")</f>
        <v>0.2798560079562718</v>
      </c>
      <c r="N13" s="59">
        <f t="shared" si="9"/>
        <v>0.28589054632110361</v>
      </c>
      <c r="O13" s="59">
        <f t="shared" si="9"/>
        <v>0.28589054326724955</v>
      </c>
      <c r="P13" s="59">
        <f t="shared" si="9"/>
        <v>0.3080133284516352</v>
      </c>
      <c r="Q13" s="59">
        <f t="shared" si="9"/>
        <v>0.30801333534567327</v>
      </c>
      <c r="R13" s="59">
        <f t="shared" si="9"/>
        <v>0.29178312235878712</v>
      </c>
      <c r="S13" s="59">
        <f t="shared" si="9"/>
        <v>0.37160432615056493</v>
      </c>
      <c r="T13" s="59">
        <f t="shared" si="9"/>
        <v>0.40676013880472311</v>
      </c>
      <c r="U13" s="59">
        <f t="shared" si="9"/>
        <v>0.27250034372635995</v>
      </c>
      <c r="V13" s="59">
        <f t="shared" si="9"/>
        <v>0.24611261007662957</v>
      </c>
      <c r="W13" s="59" t="str">
        <f t="shared" si="9"/>
        <v/>
      </c>
    </row>
    <row r="14" spans="1:23" ht="15" customHeight="1" x14ac:dyDescent="0.2">
      <c r="A14" s="257" t="s">
        <v>284</v>
      </c>
      <c r="B14" s="257"/>
      <c r="C14" s="257"/>
      <c r="D14" s="257"/>
      <c r="E14" s="257"/>
      <c r="F14" s="257"/>
      <c r="G14" s="257"/>
      <c r="H14" s="257"/>
      <c r="I14" s="257"/>
      <c r="J14" s="257"/>
      <c r="K14" s="257"/>
    </row>
    <row r="15" spans="1:23" ht="15" customHeight="1" x14ac:dyDescent="0.2">
      <c r="A15" s="96" t="s">
        <v>616</v>
      </c>
      <c r="B15" s="97">
        <v>8539744</v>
      </c>
      <c r="C15" s="97">
        <v>7359609</v>
      </c>
      <c r="D15" s="98">
        <v>5622657</v>
      </c>
      <c r="E15" s="97">
        <v>1188032</v>
      </c>
      <c r="F15" s="98">
        <v>822858</v>
      </c>
      <c r="G15" s="97">
        <v>179731</v>
      </c>
      <c r="H15" s="99">
        <v>109078</v>
      </c>
      <c r="I15" s="115">
        <v>186000</v>
      </c>
      <c r="J15" s="97">
        <v>136000</v>
      </c>
      <c r="K15" s="97">
        <v>98000</v>
      </c>
      <c r="L15" s="102"/>
      <c r="M15" s="103">
        <f t="shared" ref="M15:W15" si="10">IFERROR(B15/B25,"")</f>
        <v>3.5791320338763852E-2</v>
      </c>
      <c r="N15" s="10">
        <f t="shared" si="10"/>
        <v>3.1280017767994016E-2</v>
      </c>
      <c r="O15" s="10">
        <f t="shared" si="10"/>
        <v>3.1280014554244173E-2</v>
      </c>
      <c r="P15" s="10">
        <f t="shared" si="10"/>
        <v>6.2294453177056067E-3</v>
      </c>
      <c r="Q15" s="10">
        <f t="shared" si="10"/>
        <v>6.2294468483643298E-3</v>
      </c>
      <c r="R15" s="10">
        <f t="shared" si="10"/>
        <v>1.4252547907302572E-3</v>
      </c>
      <c r="S15" s="10">
        <f t="shared" si="10"/>
        <v>1.8432514375402681E-3</v>
      </c>
      <c r="T15" s="10">
        <f t="shared" si="10"/>
        <v>5.9127523795569955E-3</v>
      </c>
      <c r="U15" s="10">
        <f t="shared" si="10"/>
        <v>5.5093441312157251E-3</v>
      </c>
      <c r="V15" s="10">
        <f t="shared" si="10"/>
        <v>4.1715444649606864E-3</v>
      </c>
      <c r="W15" s="10" t="str">
        <f t="shared" si="10"/>
        <v/>
      </c>
    </row>
    <row r="16" spans="1:23" ht="15" customHeight="1" x14ac:dyDescent="0.2">
      <c r="A16" s="96" t="s">
        <v>617</v>
      </c>
      <c r="B16" s="97">
        <v>4563399</v>
      </c>
      <c r="C16" s="97">
        <v>8194949</v>
      </c>
      <c r="D16" s="105">
        <v>6260848</v>
      </c>
      <c r="E16" s="97">
        <v>3407904</v>
      </c>
      <c r="F16" s="105">
        <v>2360391</v>
      </c>
      <c r="G16" s="97">
        <v>7871074</v>
      </c>
      <c r="H16" s="106">
        <v>4776922</v>
      </c>
      <c r="I16" s="101">
        <v>685077</v>
      </c>
      <c r="J16" s="101">
        <v>933739</v>
      </c>
      <c r="K16" s="101">
        <v>737736</v>
      </c>
      <c r="L16" s="102"/>
      <c r="M16" s="103">
        <f t="shared" ref="M16:W16" si="11">IFERROR(B16/B25,"")</f>
        <v>1.9125874902408625E-2</v>
      </c>
      <c r="N16" s="10">
        <f t="shared" si="11"/>
        <v>3.4830403398849692E-2</v>
      </c>
      <c r="O16" s="10">
        <f t="shared" si="11"/>
        <v>3.4830404302078274E-2</v>
      </c>
      <c r="P16" s="10">
        <f t="shared" si="11"/>
        <v>1.7869343263472878E-2</v>
      </c>
      <c r="Q16" s="10">
        <f t="shared" si="11"/>
        <v>1.7869341096346549E-2</v>
      </c>
      <c r="R16" s="10">
        <f t="shared" si="11"/>
        <v>6.2417089576602636E-2</v>
      </c>
      <c r="S16" s="10">
        <f t="shared" si="11"/>
        <v>8.0722678665888004E-2</v>
      </c>
      <c r="T16" s="10">
        <f t="shared" si="11"/>
        <v>2.1777906784568646E-2</v>
      </c>
      <c r="U16" s="10">
        <f t="shared" si="11"/>
        <v>3.782565793924441E-2</v>
      </c>
      <c r="V16" s="10">
        <f t="shared" si="11"/>
        <v>3.140304619798201E-2</v>
      </c>
      <c r="W16" s="10" t="str">
        <f t="shared" si="11"/>
        <v/>
      </c>
    </row>
    <row r="17" spans="1:23" ht="15" customHeight="1" x14ac:dyDescent="0.2">
      <c r="A17" s="96" t="s">
        <v>618</v>
      </c>
      <c r="B17" s="97">
        <v>53234196</v>
      </c>
      <c r="C17" s="97">
        <v>45181506</v>
      </c>
      <c r="D17" s="105">
        <v>34518157</v>
      </c>
      <c r="E17" s="97">
        <v>37247894</v>
      </c>
      <c r="F17" s="105">
        <v>25798733</v>
      </c>
      <c r="G17" s="97">
        <v>19427004</v>
      </c>
      <c r="H17" s="106">
        <v>11790168</v>
      </c>
      <c r="I17" s="101">
        <v>9537341</v>
      </c>
      <c r="J17" s="101">
        <v>9121848</v>
      </c>
      <c r="K17" s="101">
        <v>9445286</v>
      </c>
      <c r="L17" s="102"/>
      <c r="M17" s="103">
        <f t="shared" ref="M17:W17" si="12">IFERROR(B17/B25,"")</f>
        <v>0.22311232772464157</v>
      </c>
      <c r="N17" s="10">
        <f t="shared" si="12"/>
        <v>0.1920317112586726</v>
      </c>
      <c r="O17" s="10">
        <f t="shared" si="12"/>
        <v>0.19203171264860819</v>
      </c>
      <c r="P17" s="10">
        <f t="shared" si="12"/>
        <v>0.19530931731863685</v>
      </c>
      <c r="Q17" s="10">
        <f t="shared" si="12"/>
        <v>0.19530931944350402</v>
      </c>
      <c r="R17" s="10">
        <f t="shared" si="12"/>
        <v>0.15405484040335762</v>
      </c>
      <c r="S17" s="10">
        <f t="shared" si="12"/>
        <v>0.19923581395736323</v>
      </c>
      <c r="T17" s="10">
        <f t="shared" si="12"/>
        <v>0.30318244995912097</v>
      </c>
      <c r="U17" s="10">
        <f t="shared" si="12"/>
        <v>0.36952499812236689</v>
      </c>
      <c r="V17" s="10">
        <f t="shared" si="12"/>
        <v>0.40205541360480268</v>
      </c>
      <c r="W17" s="10" t="str">
        <f t="shared" si="12"/>
        <v/>
      </c>
    </row>
    <row r="18" spans="1:23" ht="15" customHeight="1" x14ac:dyDescent="0.2">
      <c r="A18" s="96" t="s">
        <v>422</v>
      </c>
      <c r="B18" s="97">
        <v>2508232</v>
      </c>
      <c r="C18" s="97">
        <v>1492846</v>
      </c>
      <c r="D18" s="105">
        <v>1140517</v>
      </c>
      <c r="E18" s="97">
        <v>1284219</v>
      </c>
      <c r="F18" s="105">
        <v>889479</v>
      </c>
      <c r="G18" s="97">
        <v>942096</v>
      </c>
      <c r="H18" s="106">
        <v>387317</v>
      </c>
      <c r="I18" s="101">
        <v>256196</v>
      </c>
      <c r="J18" s="101">
        <v>140771</v>
      </c>
      <c r="K18" s="101">
        <v>145483</v>
      </c>
      <c r="L18" s="102"/>
      <c r="M18" s="103">
        <f t="shared" ref="M18:W18" si="13">IFERROR(B18/B25,"")</f>
        <v>1.0512368403073714E-2</v>
      </c>
      <c r="N18" s="10">
        <f t="shared" si="13"/>
        <v>6.3449361786582408E-3</v>
      </c>
      <c r="O18" s="10">
        <f t="shared" si="13"/>
        <v>6.3449341404540416E-3</v>
      </c>
      <c r="P18" s="10">
        <f t="shared" si="13"/>
        <v>6.7338018138051641E-3</v>
      </c>
      <c r="Q18" s="10">
        <f t="shared" si="13"/>
        <v>6.7338011579595215E-3</v>
      </c>
      <c r="R18" s="10">
        <f t="shared" si="13"/>
        <v>7.4707581737586308E-3</v>
      </c>
      <c r="S18" s="10">
        <f t="shared" si="13"/>
        <v>6.545065155519756E-3</v>
      </c>
      <c r="T18" s="10">
        <f t="shared" si="13"/>
        <v>8.1442124120052906E-3</v>
      </c>
      <c r="U18" s="10">
        <f t="shared" si="13"/>
        <v>5.7026167845247704E-3</v>
      </c>
      <c r="V18" s="10">
        <f t="shared" si="13"/>
        <v>6.1927428917946488E-3</v>
      </c>
      <c r="W18" s="10" t="str">
        <f t="shared" si="13"/>
        <v/>
      </c>
    </row>
    <row r="19" spans="1:23" ht="15" customHeight="1" x14ac:dyDescent="0.2">
      <c r="A19" s="96" t="s">
        <v>421</v>
      </c>
      <c r="B19" s="97">
        <v>13685645</v>
      </c>
      <c r="C19" s="97">
        <v>13030152</v>
      </c>
      <c r="D19" s="105">
        <v>9954888</v>
      </c>
      <c r="E19" s="97">
        <v>9513832</v>
      </c>
      <c r="F19" s="105">
        <v>6589495</v>
      </c>
      <c r="G19" s="97">
        <v>5879653</v>
      </c>
      <c r="H19" s="106">
        <v>1634005</v>
      </c>
      <c r="I19" s="101">
        <v>1444088</v>
      </c>
      <c r="J19" s="101">
        <v>902255</v>
      </c>
      <c r="K19" s="101">
        <v>483543</v>
      </c>
      <c r="L19" s="102"/>
      <c r="M19" s="103">
        <f t="shared" ref="M19:W19" si="14">IFERROR(B19/B25,"")</f>
        <v>5.7358546607205303E-2</v>
      </c>
      <c r="N19" s="10">
        <f t="shared" si="14"/>
        <v>5.5381119578453528E-2</v>
      </c>
      <c r="O19" s="10">
        <f t="shared" si="14"/>
        <v>5.5381119909301002E-2</v>
      </c>
      <c r="P19" s="10">
        <f t="shared" si="14"/>
        <v>4.9885774293821857E-2</v>
      </c>
      <c r="Q19" s="10">
        <f t="shared" si="14"/>
        <v>4.9885774775310573E-2</v>
      </c>
      <c r="R19" s="10">
        <f t="shared" si="14"/>
        <v>4.6625254441813202E-2</v>
      </c>
      <c r="S19" s="10">
        <f t="shared" si="14"/>
        <v>2.7612186373035676E-2</v>
      </c>
      <c r="T19" s="10">
        <f t="shared" si="14"/>
        <v>4.5906100851019906E-2</v>
      </c>
      <c r="U19" s="10">
        <f t="shared" si="14"/>
        <v>3.6550244772867974E-2</v>
      </c>
      <c r="V19" s="10">
        <f t="shared" si="14"/>
        <v>2.0582868624698828E-2</v>
      </c>
      <c r="W19" s="10" t="str">
        <f t="shared" si="14"/>
        <v/>
      </c>
    </row>
    <row r="20" spans="1:23" ht="15" customHeight="1" x14ac:dyDescent="0.2">
      <c r="A20" s="96" t="s">
        <v>619</v>
      </c>
      <c r="B20" s="97">
        <v>57468376</v>
      </c>
      <c r="C20" s="97">
        <v>60635829</v>
      </c>
      <c r="D20" s="105">
        <v>46325085</v>
      </c>
      <c r="E20" s="97">
        <v>48778009</v>
      </c>
      <c r="F20" s="105">
        <v>33784750</v>
      </c>
      <c r="G20" s="97">
        <v>35398011</v>
      </c>
      <c r="H20" s="106">
        <v>6097098</v>
      </c>
      <c r="I20" s="101">
        <v>6225435</v>
      </c>
      <c r="J20" s="101">
        <v>6357036</v>
      </c>
      <c r="K20" s="101">
        <v>6548405</v>
      </c>
      <c r="L20" s="102"/>
      <c r="M20" s="103">
        <f t="shared" ref="M20:W20" si="15">IFERROR(B20/B25,"")</f>
        <v>0.24085839748410826</v>
      </c>
      <c r="N20" s="10">
        <f t="shared" si="15"/>
        <v>0.25771611080113727</v>
      </c>
      <c r="O20" s="10">
        <f t="shared" si="15"/>
        <v>0.25771611766938629</v>
      </c>
      <c r="P20" s="10">
        <f t="shared" si="15"/>
        <v>0.25576747071800421</v>
      </c>
      <c r="Q20" s="10">
        <f t="shared" si="15"/>
        <v>0.2557674646297135</v>
      </c>
      <c r="R20" s="10">
        <f t="shared" si="15"/>
        <v>0.28070385609645715</v>
      </c>
      <c r="S20" s="10">
        <f t="shared" si="15"/>
        <v>0.10303163473224566</v>
      </c>
      <c r="T20" s="10">
        <f t="shared" si="15"/>
        <v>0.19790029897864198</v>
      </c>
      <c r="U20" s="10">
        <f t="shared" si="15"/>
        <v>0.25752278660681682</v>
      </c>
      <c r="V20" s="10">
        <f t="shared" si="15"/>
        <v>0.27874451665378452</v>
      </c>
      <c r="W20" s="10" t="str">
        <f t="shared" si="15"/>
        <v/>
      </c>
    </row>
    <row r="21" spans="1:23" ht="15" customHeight="1" x14ac:dyDescent="0.2">
      <c r="A21" s="96" t="s">
        <v>620</v>
      </c>
      <c r="B21" s="97">
        <v>285768</v>
      </c>
      <c r="C21" s="97">
        <v>204926</v>
      </c>
      <c r="D21" s="105">
        <v>156561</v>
      </c>
      <c r="E21" s="97">
        <v>146760</v>
      </c>
      <c r="F21" s="105">
        <v>101649</v>
      </c>
      <c r="G21" s="97">
        <v>25958</v>
      </c>
      <c r="H21" s="106">
        <v>15327</v>
      </c>
      <c r="I21" s="101">
        <v>3828</v>
      </c>
      <c r="J21" s="101">
        <v>4507</v>
      </c>
      <c r="K21" s="101">
        <v>1642</v>
      </c>
      <c r="L21" s="102"/>
      <c r="M21" s="103">
        <f t="shared" ref="M21:W21" si="16">IFERROR(B21/B25,"")</f>
        <v>1.197695625368614E-3</v>
      </c>
      <c r="N21" s="10">
        <f t="shared" si="16"/>
        <v>8.7098226565078963E-4</v>
      </c>
      <c r="O21" s="10">
        <f t="shared" si="16"/>
        <v>8.7098152325973681E-4</v>
      </c>
      <c r="P21" s="10">
        <f t="shared" si="16"/>
        <v>7.6953600140945266E-4</v>
      </c>
      <c r="Q21" s="10">
        <f t="shared" si="16"/>
        <v>7.6953379889286579E-4</v>
      </c>
      <c r="R21" s="10">
        <f t="shared" si="16"/>
        <v>2.0584520120500089E-4</v>
      </c>
      <c r="S21" s="10">
        <f t="shared" si="16"/>
        <v>2.5900286751847013E-4</v>
      </c>
      <c r="T21" s="10">
        <f t="shared" si="16"/>
        <v>1.2168825865023752E-4</v>
      </c>
      <c r="U21" s="10">
        <f t="shared" si="16"/>
        <v>1.8257804411315643E-4</v>
      </c>
      <c r="V21" s="10">
        <f t="shared" si="16"/>
        <v>6.9894653178218847E-5</v>
      </c>
      <c r="W21" s="10" t="str">
        <f t="shared" si="16"/>
        <v/>
      </c>
    </row>
    <row r="22" spans="1:23" ht="15" customHeight="1" x14ac:dyDescent="0.2">
      <c r="A22" s="96" t="s">
        <v>425</v>
      </c>
      <c r="B22" s="97">
        <v>31521520</v>
      </c>
      <c r="C22" s="97">
        <v>31889248</v>
      </c>
      <c r="D22" s="105">
        <v>24363023</v>
      </c>
      <c r="E22" s="97">
        <v>30363907</v>
      </c>
      <c r="F22" s="105">
        <v>21030728</v>
      </c>
      <c r="G22" s="97">
        <v>19564845</v>
      </c>
      <c r="H22" s="106">
        <v>12371412</v>
      </c>
      <c r="I22" s="101">
        <v>318901</v>
      </c>
      <c r="J22" s="101">
        <v>362026</v>
      </c>
      <c r="K22" s="101">
        <v>244040</v>
      </c>
      <c r="L22" s="102"/>
      <c r="M22" s="103">
        <f t="shared" ref="M22:W22" si="17">IFERROR(B22/B25,"")</f>
        <v>0.13211131620394612</v>
      </c>
      <c r="N22" s="10">
        <f t="shared" si="17"/>
        <v>0.13553658136566327</v>
      </c>
      <c r="O22" s="10">
        <f t="shared" si="17"/>
        <v>0.13553658244231961</v>
      </c>
      <c r="P22" s="10">
        <f t="shared" si="17"/>
        <v>0.15921313423240999</v>
      </c>
      <c r="Q22" s="10">
        <f t="shared" si="17"/>
        <v>0.15921313550868735</v>
      </c>
      <c r="R22" s="10">
        <f t="shared" si="17"/>
        <v>0.1551479103000869</v>
      </c>
      <c r="S22" s="10">
        <f t="shared" si="17"/>
        <v>0.20905794893015017</v>
      </c>
      <c r="T22" s="10">
        <f t="shared" si="17"/>
        <v>1.0137541110715621E-2</v>
      </c>
      <c r="U22" s="10">
        <f t="shared" si="17"/>
        <v>1.4665631017996353E-2</v>
      </c>
      <c r="V22" s="10">
        <f t="shared" si="17"/>
        <v>1.0387997053357204E-2</v>
      </c>
      <c r="W22" s="10" t="str">
        <f t="shared" si="17"/>
        <v/>
      </c>
    </row>
    <row r="23" spans="1:23" ht="15" customHeight="1" x14ac:dyDescent="0.2">
      <c r="A23" s="96" t="s">
        <v>621</v>
      </c>
      <c r="B23" s="116">
        <v>18168</v>
      </c>
      <c r="C23" s="116">
        <v>27667</v>
      </c>
      <c r="D23" s="117">
        <v>21137</v>
      </c>
      <c r="E23" s="116">
        <v>39830</v>
      </c>
      <c r="F23" s="117">
        <v>27587</v>
      </c>
      <c r="G23" s="116">
        <v>20942</v>
      </c>
      <c r="H23" s="118">
        <v>5213</v>
      </c>
      <c r="I23" s="119">
        <v>4936</v>
      </c>
      <c r="J23" s="101">
        <v>390</v>
      </c>
      <c r="K23" s="101">
        <v>6563</v>
      </c>
      <c r="L23" s="102"/>
      <c r="M23" s="103">
        <f t="shared" ref="M23:W23" si="18">IFERROR(B23/B25,"")</f>
        <v>7.6144754212147537E-5</v>
      </c>
      <c r="N23" s="10">
        <f t="shared" si="18"/>
        <v>1.1759106381698953E-4</v>
      </c>
      <c r="O23" s="10">
        <f t="shared" si="18"/>
        <v>1.1758954309911828E-4</v>
      </c>
      <c r="P23" s="10">
        <f t="shared" si="18"/>
        <v>2.0884858909879056E-4</v>
      </c>
      <c r="Q23" s="10">
        <f t="shared" si="18"/>
        <v>2.0884739554798856E-4</v>
      </c>
      <c r="R23" s="10">
        <f t="shared" si="18"/>
        <v>1.6606865720144575E-4</v>
      </c>
      <c r="S23" s="10">
        <f t="shared" si="18"/>
        <v>8.8091730173796894E-5</v>
      </c>
      <c r="T23" s="10">
        <f t="shared" si="18"/>
        <v>1.5691046099727596E-4</v>
      </c>
      <c r="U23" s="10">
        <f t="shared" si="18"/>
        <v>1.5798854493927446E-5</v>
      </c>
      <c r="V23" s="10">
        <f t="shared" si="18"/>
        <v>2.7936577881160191E-4</v>
      </c>
      <c r="W23" s="10" t="str">
        <f t="shared" si="18"/>
        <v/>
      </c>
    </row>
    <row r="24" spans="1:23" ht="15.75" customHeight="1" x14ac:dyDescent="0.2">
      <c r="A24" s="108" t="s">
        <v>60</v>
      </c>
      <c r="B24" s="120">
        <f t="shared" ref="B24:K24" si="19">IFERROR(B15+B16+B17+B18+B19+B20+B21+B22+B23,"")</f>
        <v>171825048</v>
      </c>
      <c r="C24" s="120">
        <f t="shared" si="19"/>
        <v>168016732</v>
      </c>
      <c r="D24" s="121">
        <f t="shared" si="19"/>
        <v>128362873</v>
      </c>
      <c r="E24" s="120">
        <f t="shared" si="19"/>
        <v>131970387</v>
      </c>
      <c r="F24" s="121">
        <f t="shared" si="19"/>
        <v>91405670</v>
      </c>
      <c r="G24" s="120">
        <f t="shared" si="19"/>
        <v>89309314</v>
      </c>
      <c r="H24" s="122">
        <f t="shared" si="19"/>
        <v>37186540</v>
      </c>
      <c r="I24" s="112">
        <f t="shared" si="19"/>
        <v>18661802</v>
      </c>
      <c r="J24" s="112">
        <f t="shared" si="19"/>
        <v>17958572</v>
      </c>
      <c r="K24" s="112">
        <f t="shared" si="19"/>
        <v>17710698</v>
      </c>
      <c r="L24" s="113"/>
      <c r="M24" s="114">
        <f t="shared" ref="M24:W24" si="20">IFERROR(B24/B25,"")</f>
        <v>0.72014399204372814</v>
      </c>
      <c r="N24" s="59">
        <f t="shared" si="20"/>
        <v>0.71410945367889633</v>
      </c>
      <c r="O24" s="59">
        <f t="shared" si="20"/>
        <v>0.71410945673275039</v>
      </c>
      <c r="P24" s="59">
        <f t="shared" si="20"/>
        <v>0.6919866715483648</v>
      </c>
      <c r="Q24" s="59">
        <f t="shared" si="20"/>
        <v>0.69198666465432668</v>
      </c>
      <c r="R24" s="59">
        <f t="shared" si="20"/>
        <v>0.70821687764121288</v>
      </c>
      <c r="S24" s="59">
        <f t="shared" si="20"/>
        <v>0.62839567384943507</v>
      </c>
      <c r="T24" s="59">
        <f t="shared" si="20"/>
        <v>0.59323986119527683</v>
      </c>
      <c r="U24" s="59">
        <f t="shared" si="20"/>
        <v>0.72749965627363999</v>
      </c>
      <c r="V24" s="59">
        <f t="shared" si="20"/>
        <v>0.75388738992337045</v>
      </c>
      <c r="W24" s="59" t="str">
        <f t="shared" si="20"/>
        <v/>
      </c>
    </row>
    <row r="25" spans="1:23" ht="15.75" customHeight="1" x14ac:dyDescent="0.2">
      <c r="A25" s="108" t="s">
        <v>61</v>
      </c>
      <c r="B25" s="109">
        <f t="shared" ref="B25:K25" si="21">B13+B24</f>
        <v>238598183</v>
      </c>
      <c r="C25" s="109">
        <f t="shared" si="21"/>
        <v>235281484</v>
      </c>
      <c r="D25" s="110">
        <f t="shared" si="21"/>
        <v>179752378</v>
      </c>
      <c r="E25" s="109">
        <f t="shared" si="21"/>
        <v>190712325</v>
      </c>
      <c r="F25" s="110">
        <f t="shared" si="21"/>
        <v>132091664</v>
      </c>
      <c r="G25" s="109">
        <f t="shared" si="21"/>
        <v>126104470</v>
      </c>
      <c r="H25" s="123">
        <f t="shared" si="21"/>
        <v>59176951</v>
      </c>
      <c r="I25" s="124">
        <f t="shared" si="21"/>
        <v>31457431</v>
      </c>
      <c r="J25" s="112">
        <f t="shared" si="21"/>
        <v>24685334</v>
      </c>
      <c r="K25" s="112">
        <f t="shared" si="21"/>
        <v>23492498</v>
      </c>
      <c r="L25" s="113"/>
      <c r="M25" s="114">
        <f t="shared" ref="M25:W25" si="22">IFERROR(B25/B25,"")</f>
        <v>1</v>
      </c>
      <c r="N25" s="59">
        <f t="shared" si="22"/>
        <v>1</v>
      </c>
      <c r="O25" s="59">
        <f t="shared" si="22"/>
        <v>1</v>
      </c>
      <c r="P25" s="59">
        <f t="shared" si="22"/>
        <v>1</v>
      </c>
      <c r="Q25" s="59">
        <f t="shared" si="22"/>
        <v>1</v>
      </c>
      <c r="R25" s="59">
        <f t="shared" si="22"/>
        <v>1</v>
      </c>
      <c r="S25" s="59">
        <f t="shared" si="22"/>
        <v>1</v>
      </c>
      <c r="T25" s="59">
        <f t="shared" si="22"/>
        <v>1</v>
      </c>
      <c r="U25" s="59">
        <f t="shared" si="22"/>
        <v>1</v>
      </c>
      <c r="V25" s="59">
        <f t="shared" si="22"/>
        <v>1</v>
      </c>
      <c r="W25" s="59" t="str">
        <f t="shared" si="22"/>
        <v/>
      </c>
    </row>
    <row r="26" spans="1:23" ht="15" customHeight="1" x14ac:dyDescent="0.2">
      <c r="A26" s="96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6"/>
      <c r="M26" s="125"/>
    </row>
    <row r="27" spans="1:23" ht="15" customHeight="1" x14ac:dyDescent="0.2">
      <c r="A27" s="257" t="s">
        <v>290</v>
      </c>
      <c r="B27" s="257"/>
      <c r="C27" s="257"/>
      <c r="D27" s="257"/>
      <c r="E27" s="257"/>
      <c r="F27" s="257"/>
      <c r="G27" s="257"/>
      <c r="H27" s="257"/>
      <c r="I27" s="257"/>
      <c r="J27" s="257"/>
      <c r="K27" s="257"/>
    </row>
    <row r="28" spans="1:23" ht="15" customHeight="1" x14ac:dyDescent="0.2">
      <c r="A28" s="257" t="s">
        <v>291</v>
      </c>
      <c r="B28" s="257"/>
      <c r="C28" s="257"/>
      <c r="D28" s="257"/>
      <c r="E28" s="257"/>
      <c r="F28" s="257"/>
      <c r="G28" s="257"/>
      <c r="H28" s="257"/>
      <c r="I28" s="257"/>
      <c r="J28" s="257"/>
      <c r="K28" s="257"/>
    </row>
    <row r="29" spans="1:23" ht="15" customHeight="1" x14ac:dyDescent="0.2">
      <c r="A29" s="96" t="s">
        <v>426</v>
      </c>
      <c r="B29" s="97">
        <v>11532024</v>
      </c>
      <c r="C29" s="97">
        <v>7958224</v>
      </c>
      <c r="D29" s="98">
        <v>6079993</v>
      </c>
      <c r="E29" s="97">
        <v>10451822</v>
      </c>
      <c r="F29" s="98">
        <v>7239168</v>
      </c>
      <c r="G29" s="97">
        <v>13480547</v>
      </c>
      <c r="H29" s="99">
        <v>8181288</v>
      </c>
      <c r="I29" s="100">
        <v>1040267</v>
      </c>
      <c r="J29" s="101">
        <v>1098798</v>
      </c>
      <c r="K29" s="101">
        <v>676281</v>
      </c>
      <c r="L29" s="102"/>
      <c r="M29" s="103">
        <f t="shared" ref="M29:W29" si="23">IFERROR(B29/B25,"")</f>
        <v>4.8332404945430785E-2</v>
      </c>
      <c r="N29" s="10">
        <f t="shared" si="23"/>
        <v>3.3824268126428511E-2</v>
      </c>
      <c r="O29" s="10">
        <f t="shared" si="23"/>
        <v>3.3824270185732953E-2</v>
      </c>
      <c r="P29" s="10">
        <f t="shared" si="23"/>
        <v>5.4804124484350972E-2</v>
      </c>
      <c r="Q29" s="10">
        <f t="shared" si="23"/>
        <v>5.4804124505540334E-2</v>
      </c>
      <c r="R29" s="10">
        <f t="shared" si="23"/>
        <v>0.10689983471640617</v>
      </c>
      <c r="S29" s="10">
        <f t="shared" si="23"/>
        <v>0.13825125934588958</v>
      </c>
      <c r="T29" s="10">
        <f t="shared" si="23"/>
        <v>3.3069038600132349E-2</v>
      </c>
      <c r="U29" s="10">
        <f t="shared" si="23"/>
        <v>4.4512178769791001E-2</v>
      </c>
      <c r="V29" s="10">
        <f t="shared" si="23"/>
        <v>2.8787104717429367E-2</v>
      </c>
      <c r="W29" s="10" t="str">
        <f t="shared" si="23"/>
        <v/>
      </c>
    </row>
    <row r="30" spans="1:23" ht="15" customHeight="1" x14ac:dyDescent="0.2">
      <c r="A30" s="96" t="s">
        <v>622</v>
      </c>
      <c r="B30" s="97">
        <v>21338333</v>
      </c>
      <c r="C30" s="97">
        <v>31199928</v>
      </c>
      <c r="D30" s="105">
        <v>23836390</v>
      </c>
      <c r="E30" s="97">
        <v>18669039</v>
      </c>
      <c r="F30" s="105">
        <v>12930598</v>
      </c>
      <c r="G30" s="97">
        <v>11517732</v>
      </c>
      <c r="H30" s="106">
        <v>6990064</v>
      </c>
      <c r="I30" s="101">
        <v>5294870</v>
      </c>
      <c r="J30" s="101">
        <v>1573117</v>
      </c>
      <c r="K30" s="101">
        <v>3015735</v>
      </c>
      <c r="L30" s="102"/>
      <c r="M30" s="103">
        <f t="shared" ref="M30:W30" si="24">IFERROR(B30/B25,"")</f>
        <v>8.9432085071662087E-2</v>
      </c>
      <c r="N30" s="10">
        <f t="shared" si="24"/>
        <v>0.13260681405766719</v>
      </c>
      <c r="O30" s="10">
        <f t="shared" si="24"/>
        <v>0.1326068131349005</v>
      </c>
      <c r="P30" s="10">
        <f t="shared" si="24"/>
        <v>9.7891098543316485E-2</v>
      </c>
      <c r="Q30" s="10">
        <f t="shared" si="24"/>
        <v>9.789109780614165E-2</v>
      </c>
      <c r="R30" s="10">
        <f t="shared" si="24"/>
        <v>9.1334843245445621E-2</v>
      </c>
      <c r="S30" s="10">
        <f t="shared" si="24"/>
        <v>0.11812139493296976</v>
      </c>
      <c r="T30" s="10">
        <f t="shared" si="24"/>
        <v>0.16831857630077929</v>
      </c>
      <c r="U30" s="10">
        <f t="shared" si="24"/>
        <v>6.372678611518888E-2</v>
      </c>
      <c r="V30" s="10">
        <f t="shared" si="24"/>
        <v>0.12837012905141038</v>
      </c>
      <c r="W30" s="10" t="str">
        <f t="shared" si="24"/>
        <v/>
      </c>
    </row>
    <row r="31" spans="1:23" ht="15" customHeight="1" x14ac:dyDescent="0.2">
      <c r="A31" s="96" t="s">
        <v>623</v>
      </c>
      <c r="B31" s="97">
        <v>245080</v>
      </c>
      <c r="C31" s="97">
        <v>216482</v>
      </c>
      <c r="D31" s="105">
        <v>165390</v>
      </c>
      <c r="E31" s="97">
        <v>202019</v>
      </c>
      <c r="F31" s="105">
        <v>139923</v>
      </c>
      <c r="G31" s="97">
        <v>136247</v>
      </c>
      <c r="H31" s="106">
        <v>82688</v>
      </c>
      <c r="I31" s="101">
        <v>118387</v>
      </c>
      <c r="J31" s="101">
        <v>68743</v>
      </c>
      <c r="K31" s="101">
        <v>51184</v>
      </c>
      <c r="L31" s="102"/>
      <c r="M31" s="103">
        <f t="shared" ref="M31:W31" si="25">IFERROR(B31/B25,"")</f>
        <v>1.0271662462743901E-3</v>
      </c>
      <c r="N31" s="10">
        <f t="shared" si="25"/>
        <v>9.200979028166959E-4</v>
      </c>
      <c r="O31" s="10">
        <f t="shared" si="25"/>
        <v>9.2009909320921472E-4</v>
      </c>
      <c r="P31" s="10">
        <f t="shared" si="25"/>
        <v>1.0592865458485705E-3</v>
      </c>
      <c r="Q31" s="10">
        <f t="shared" si="25"/>
        <v>1.0592871326081561E-3</v>
      </c>
      <c r="R31" s="10">
        <f t="shared" si="25"/>
        <v>1.0804295835032652E-3</v>
      </c>
      <c r="S31" s="10">
        <f t="shared" si="25"/>
        <v>1.3973007835432413E-3</v>
      </c>
      <c r="T31" s="10">
        <f t="shared" si="25"/>
        <v>3.7634033116054517E-3</v>
      </c>
      <c r="U31" s="10">
        <f t="shared" si="25"/>
        <v>2.7847709089129603E-3</v>
      </c>
      <c r="V31" s="10">
        <f t="shared" si="25"/>
        <v>2.1787380805566099E-3</v>
      </c>
      <c r="W31" s="10" t="str">
        <f t="shared" si="25"/>
        <v/>
      </c>
    </row>
    <row r="32" spans="1:23" ht="15" customHeight="1" x14ac:dyDescent="0.2">
      <c r="A32" s="96" t="s">
        <v>430</v>
      </c>
      <c r="B32" s="97">
        <v>28318457</v>
      </c>
      <c r="C32" s="97">
        <v>25981587</v>
      </c>
      <c r="D32" s="105">
        <v>19849637</v>
      </c>
      <c r="E32" s="97">
        <v>23402737</v>
      </c>
      <c r="F32" s="105">
        <v>16209264</v>
      </c>
      <c r="G32" s="97">
        <v>11158918</v>
      </c>
      <c r="H32" s="106">
        <v>6772301</v>
      </c>
      <c r="I32" s="101">
        <v>3981140</v>
      </c>
      <c r="J32" s="101">
        <v>1914357</v>
      </c>
      <c r="K32" s="101">
        <v>2611620</v>
      </c>
      <c r="L32" s="102"/>
      <c r="M32" s="103">
        <f t="shared" ref="M32:W32" si="26">IFERROR(B32/B25,"")</f>
        <v>0.1186868091111993</v>
      </c>
      <c r="N32" s="10">
        <f t="shared" si="26"/>
        <v>0.11042767394309702</v>
      </c>
      <c r="O32" s="10">
        <f t="shared" si="26"/>
        <v>0.11042767400829601</v>
      </c>
      <c r="P32" s="10">
        <f t="shared" si="26"/>
        <v>0.12271224211649667</v>
      </c>
      <c r="Q32" s="10">
        <f t="shared" si="26"/>
        <v>0.12271224019102371</v>
      </c>
      <c r="R32" s="10">
        <f t="shared" si="26"/>
        <v>8.8489472260578864E-2</v>
      </c>
      <c r="S32" s="10">
        <f t="shared" si="26"/>
        <v>0.11444153315705637</v>
      </c>
      <c r="T32" s="10">
        <f t="shared" si="26"/>
        <v>0.12655642477607279</v>
      </c>
      <c r="U32" s="10">
        <f t="shared" si="26"/>
        <v>7.7550378698542213E-2</v>
      </c>
      <c r="V32" s="10">
        <f t="shared" si="26"/>
        <v>0.11116825464878193</v>
      </c>
      <c r="W32" s="10" t="str">
        <f t="shared" si="26"/>
        <v/>
      </c>
    </row>
    <row r="33" spans="1:23" ht="15" customHeight="1" x14ac:dyDescent="0.2">
      <c r="A33" s="96" t="s">
        <v>624</v>
      </c>
      <c r="B33" s="97">
        <v>912299</v>
      </c>
      <c r="C33" s="97">
        <v>1626063</v>
      </c>
      <c r="D33" s="105">
        <v>1242294</v>
      </c>
      <c r="E33" s="97">
        <v>966461</v>
      </c>
      <c r="F33" s="105">
        <v>669393</v>
      </c>
      <c r="G33" s="97">
        <v>391075</v>
      </c>
      <c r="H33" s="106">
        <v>237342</v>
      </c>
      <c r="I33" s="101">
        <v>81812</v>
      </c>
      <c r="J33" s="101">
        <v>57939</v>
      </c>
      <c r="K33" s="101">
        <v>52358</v>
      </c>
      <c r="L33" s="102"/>
      <c r="M33" s="103">
        <f t="shared" ref="M33:W33" si="27">IFERROR(B33/B25,"")</f>
        <v>3.8235789917981061E-3</v>
      </c>
      <c r="N33" s="10">
        <f t="shared" si="27"/>
        <v>6.9111388297771869E-3</v>
      </c>
      <c r="O33" s="10">
        <f t="shared" si="27"/>
        <v>6.9111408362007871E-3</v>
      </c>
      <c r="P33" s="10">
        <f t="shared" si="27"/>
        <v>5.0676378676627219E-3</v>
      </c>
      <c r="Q33" s="10">
        <f t="shared" si="27"/>
        <v>5.0676399988420166E-3</v>
      </c>
      <c r="R33" s="10">
        <f t="shared" si="27"/>
        <v>3.1011985538656958E-3</v>
      </c>
      <c r="S33" s="10">
        <f t="shared" si="27"/>
        <v>4.0107169428178213E-3</v>
      </c>
      <c r="T33" s="10">
        <f t="shared" si="27"/>
        <v>2.6007209552490157E-3</v>
      </c>
      <c r="U33" s="10">
        <f t="shared" si="27"/>
        <v>2.3471021295478523E-3</v>
      </c>
      <c r="V33" s="10">
        <f t="shared" si="27"/>
        <v>2.2287114805756287E-3</v>
      </c>
      <c r="W33" s="10" t="str">
        <f t="shared" si="27"/>
        <v/>
      </c>
    </row>
    <row r="34" spans="1:23" ht="15" customHeight="1" x14ac:dyDescent="0.2">
      <c r="A34" s="96" t="s">
        <v>625</v>
      </c>
      <c r="B34" s="97">
        <v>16570218</v>
      </c>
      <c r="C34" s="97">
        <v>17165360</v>
      </c>
      <c r="D34" s="105">
        <v>13114140</v>
      </c>
      <c r="E34" s="97">
        <v>12980145</v>
      </c>
      <c r="F34" s="105">
        <v>8990342</v>
      </c>
      <c r="G34" s="97">
        <v>8846730</v>
      </c>
      <c r="H34" s="106">
        <v>5369044</v>
      </c>
      <c r="I34" s="101">
        <v>2888202</v>
      </c>
      <c r="J34" s="101">
        <v>2579077</v>
      </c>
      <c r="K34" s="101">
        <v>174660</v>
      </c>
      <c r="L34" s="102"/>
      <c r="M34" s="103">
        <f t="shared" ref="M34:W34" si="28">IFERROR(B34/B25,"")</f>
        <v>6.9448215370525271E-2</v>
      </c>
      <c r="N34" s="10">
        <f t="shared" si="28"/>
        <v>7.2956697263946199E-2</v>
      </c>
      <c r="O34" s="10">
        <f t="shared" si="28"/>
        <v>7.2956698241844684E-2</v>
      </c>
      <c r="P34" s="10">
        <f t="shared" si="28"/>
        <v>6.8061385125476284E-2</v>
      </c>
      <c r="Q34" s="10">
        <f t="shared" si="28"/>
        <v>6.8061388037325352E-2</v>
      </c>
      <c r="R34" s="10">
        <f t="shared" si="28"/>
        <v>7.0153976302346779E-2</v>
      </c>
      <c r="S34" s="10">
        <f t="shared" si="28"/>
        <v>9.0728635207988323E-2</v>
      </c>
      <c r="T34" s="10">
        <f t="shared" si="28"/>
        <v>9.1813028215813303E-2</v>
      </c>
      <c r="U34" s="10">
        <f t="shared" si="28"/>
        <v>0.10447810833752542</v>
      </c>
      <c r="V34" s="10">
        <f t="shared" si="28"/>
        <v>7.4347138392860564E-3</v>
      </c>
      <c r="W34" s="10" t="str">
        <f t="shared" si="28"/>
        <v/>
      </c>
    </row>
    <row r="35" spans="1:23" ht="15" customHeight="1" x14ac:dyDescent="0.2">
      <c r="A35" s="96" t="s">
        <v>433</v>
      </c>
      <c r="B35" s="97">
        <v>1287797</v>
      </c>
      <c r="C35" s="97">
        <v>477035</v>
      </c>
      <c r="D35" s="105">
        <v>364449</v>
      </c>
      <c r="E35" s="97">
        <v>65235</v>
      </c>
      <c r="F35" s="105">
        <v>45183</v>
      </c>
      <c r="G35" s="97">
        <v>169650</v>
      </c>
      <c r="H35" s="106">
        <v>102960</v>
      </c>
      <c r="I35" s="101">
        <v>43717</v>
      </c>
      <c r="J35" s="101">
        <v>140060</v>
      </c>
      <c r="K35" s="101">
        <v>66655</v>
      </c>
      <c r="L35" s="102"/>
      <c r="M35" s="103">
        <f t="shared" ref="M35:W35" si="29">IFERROR(B35/B25,"")</f>
        <v>5.3973462153314054E-3</v>
      </c>
      <c r="N35" s="10">
        <f t="shared" si="29"/>
        <v>2.0275076129662628E-3</v>
      </c>
      <c r="O35" s="10">
        <f t="shared" si="29"/>
        <v>2.0275058614245426E-3</v>
      </c>
      <c r="P35" s="10">
        <f t="shared" si="29"/>
        <v>3.4205969645642988E-4</v>
      </c>
      <c r="Q35" s="10">
        <f t="shared" si="29"/>
        <v>3.4205792123263737E-4</v>
      </c>
      <c r="R35" s="10">
        <f t="shared" si="29"/>
        <v>1.3453131360054089E-3</v>
      </c>
      <c r="S35" s="10">
        <f t="shared" si="29"/>
        <v>1.7398665909637691E-3</v>
      </c>
      <c r="T35" s="10">
        <f t="shared" si="29"/>
        <v>1.3897193321349096E-3</v>
      </c>
      <c r="U35" s="10">
        <f t="shared" si="29"/>
        <v>5.6738142574858418E-3</v>
      </c>
      <c r="V35" s="10">
        <f t="shared" si="29"/>
        <v>2.8372887378770874E-3</v>
      </c>
      <c r="W35" s="10" t="str">
        <f t="shared" si="29"/>
        <v/>
      </c>
    </row>
    <row r="36" spans="1:23" ht="15" customHeight="1" x14ac:dyDescent="0.2">
      <c r="A36" s="96" t="s">
        <v>626</v>
      </c>
      <c r="B36" s="97">
        <v>630211</v>
      </c>
      <c r="C36" s="97">
        <v>419567</v>
      </c>
      <c r="D36" s="105">
        <v>320545</v>
      </c>
      <c r="E36" s="97">
        <v>98446</v>
      </c>
      <c r="F36" s="105">
        <v>68186</v>
      </c>
      <c r="G36" s="97">
        <v>3190630</v>
      </c>
      <c r="H36" s="106">
        <v>1934328</v>
      </c>
      <c r="I36" s="101">
        <v>266610</v>
      </c>
      <c r="J36" s="101">
        <v>180039</v>
      </c>
      <c r="K36" s="101">
        <v>88017</v>
      </c>
      <c r="L36" s="102"/>
      <c r="M36" s="103">
        <f t="shared" ref="M36:W36" si="30">IFERROR(B36/B25,"")</f>
        <v>2.6413067864812702E-3</v>
      </c>
      <c r="N36" s="10">
        <f t="shared" si="30"/>
        <v>1.7832554983374723E-3</v>
      </c>
      <c r="O36" s="10">
        <f t="shared" si="30"/>
        <v>1.7832587449830566E-3</v>
      </c>
      <c r="P36" s="10">
        <f t="shared" si="30"/>
        <v>5.1620156169770364E-4</v>
      </c>
      <c r="Q36" s="10">
        <f t="shared" si="30"/>
        <v>5.1620214277866921E-4</v>
      </c>
      <c r="R36" s="10">
        <f t="shared" si="30"/>
        <v>2.5301482175849911E-2</v>
      </c>
      <c r="S36" s="10">
        <f t="shared" si="30"/>
        <v>3.2687185928183426E-2</v>
      </c>
      <c r="T36" s="10">
        <f t="shared" si="30"/>
        <v>8.4752629672779061E-3</v>
      </c>
      <c r="U36" s="10">
        <f t="shared" si="30"/>
        <v>7.293358882646676E-3</v>
      </c>
      <c r="V36" s="10">
        <f t="shared" si="30"/>
        <v>3.7466002976780078E-3</v>
      </c>
      <c r="W36" s="10" t="str">
        <f t="shared" si="30"/>
        <v/>
      </c>
    </row>
    <row r="37" spans="1:23" ht="15" customHeight="1" x14ac:dyDescent="0.2">
      <c r="A37" s="96" t="s">
        <v>627</v>
      </c>
      <c r="B37" s="97">
        <v>2370410</v>
      </c>
      <c r="C37" s="97">
        <v>2059504</v>
      </c>
      <c r="D37" s="105">
        <v>1573437</v>
      </c>
      <c r="E37" s="97">
        <v>1583783</v>
      </c>
      <c r="F37" s="105">
        <v>1096964</v>
      </c>
      <c r="G37" s="97">
        <v>834295</v>
      </c>
      <c r="H37" s="127">
        <v>506330</v>
      </c>
      <c r="I37" s="101">
        <v>369721</v>
      </c>
      <c r="J37" s="101">
        <v>345547</v>
      </c>
      <c r="K37" s="101">
        <v>289026</v>
      </c>
      <c r="L37" s="102"/>
      <c r="M37" s="103">
        <f t="shared" ref="M37:W37" si="31">IFERROR(B37/B25,"")</f>
        <v>9.9347361752541094E-3</v>
      </c>
      <c r="N37" s="10">
        <f t="shared" si="31"/>
        <v>8.7533619942655582E-3</v>
      </c>
      <c r="O37" s="10">
        <f t="shared" si="31"/>
        <v>8.7533584673911789E-3</v>
      </c>
      <c r="P37" s="10">
        <f t="shared" si="31"/>
        <v>8.3045655282111414E-3</v>
      </c>
      <c r="Q37" s="10">
        <f t="shared" si="31"/>
        <v>8.3045664410738296E-3</v>
      </c>
      <c r="R37" s="10">
        <f t="shared" si="31"/>
        <v>6.6159034648018422E-3</v>
      </c>
      <c r="S37" s="10">
        <f t="shared" si="31"/>
        <v>8.5562029040664837E-3</v>
      </c>
      <c r="T37" s="10">
        <f t="shared" si="31"/>
        <v>1.1753057647968775E-2</v>
      </c>
      <c r="U37" s="10">
        <f t="shared" si="31"/>
        <v>1.3998068650802942E-2</v>
      </c>
      <c r="V37" s="10">
        <f t="shared" si="31"/>
        <v>1.2302906229895178E-2</v>
      </c>
      <c r="W37" s="10" t="str">
        <f t="shared" si="31"/>
        <v/>
      </c>
    </row>
    <row r="38" spans="1:23" ht="15" customHeight="1" x14ac:dyDescent="0.2">
      <c r="A38" s="96" t="s">
        <v>628</v>
      </c>
      <c r="B38" s="97">
        <v>1374115</v>
      </c>
      <c r="C38" s="97">
        <v>1351616</v>
      </c>
      <c r="D38" s="105">
        <v>1032619</v>
      </c>
      <c r="E38" s="97">
        <v>887891</v>
      </c>
      <c r="F38" s="105">
        <v>614972</v>
      </c>
      <c r="G38" s="97">
        <v>1775420</v>
      </c>
      <c r="H38" s="118">
        <v>1077495</v>
      </c>
      <c r="I38" s="101">
        <v>344655</v>
      </c>
      <c r="J38" s="101">
        <v>329933</v>
      </c>
      <c r="K38" s="101">
        <v>305476</v>
      </c>
      <c r="L38" s="102"/>
      <c r="M38" s="103">
        <f t="shared" ref="M38:W38" si="32">IFERROR(B38/B25,"")</f>
        <v>5.7591176207741701E-3</v>
      </c>
      <c r="N38" s="10">
        <f t="shared" si="32"/>
        <v>5.7446764489125718E-3</v>
      </c>
      <c r="O38" s="10">
        <f t="shared" si="32"/>
        <v>5.7446750440208359E-3</v>
      </c>
      <c r="P38" s="10">
        <f t="shared" si="32"/>
        <v>4.6556561040299836E-3</v>
      </c>
      <c r="Q38" s="10">
        <f t="shared" si="32"/>
        <v>4.6556457945748945E-3</v>
      </c>
      <c r="R38" s="10">
        <f t="shared" si="32"/>
        <v>1.4078961673602846E-2</v>
      </c>
      <c r="S38" s="10">
        <f t="shared" si="32"/>
        <v>1.8208018185999479E-2</v>
      </c>
      <c r="T38" s="10">
        <f t="shared" si="32"/>
        <v>1.0956234792345249E-2</v>
      </c>
      <c r="U38" s="10">
        <f t="shared" si="32"/>
        <v>1.3365547332679396E-2</v>
      </c>
      <c r="V38" s="10">
        <f t="shared" si="32"/>
        <v>1.3003129765085008E-2</v>
      </c>
      <c r="W38" s="10" t="str">
        <f t="shared" si="32"/>
        <v/>
      </c>
    </row>
    <row r="39" spans="1:23" ht="15.75" customHeight="1" x14ac:dyDescent="0.2">
      <c r="A39" s="108" t="s">
        <v>437</v>
      </c>
      <c r="B39" s="109">
        <f t="shared" ref="B39:K39" si="33">IFERROR(B29+B30+B31+B32+B33+B34+B35+B36+B37+B38,"")</f>
        <v>84578944</v>
      </c>
      <c r="C39" s="109">
        <f t="shared" si="33"/>
        <v>88455366</v>
      </c>
      <c r="D39" s="110">
        <f t="shared" si="33"/>
        <v>67578894</v>
      </c>
      <c r="E39" s="109">
        <f t="shared" si="33"/>
        <v>69307578</v>
      </c>
      <c r="F39" s="110">
        <f t="shared" si="33"/>
        <v>48003993</v>
      </c>
      <c r="G39" s="109">
        <f t="shared" si="33"/>
        <v>51501244</v>
      </c>
      <c r="H39" s="122">
        <f t="shared" si="33"/>
        <v>31253840</v>
      </c>
      <c r="I39" s="112">
        <f t="shared" si="33"/>
        <v>14429381</v>
      </c>
      <c r="J39" s="112">
        <f t="shared" si="33"/>
        <v>8287610</v>
      </c>
      <c r="K39" s="112">
        <f t="shared" si="33"/>
        <v>7331012</v>
      </c>
      <c r="L39" s="113"/>
      <c r="M39" s="114">
        <f t="shared" ref="M39:W39" si="34">IFERROR(B39/B25,"")</f>
        <v>0.35448276653473093</v>
      </c>
      <c r="N39" s="59">
        <f t="shared" si="34"/>
        <v>0.37595549167821468</v>
      </c>
      <c r="O39" s="59">
        <f t="shared" si="34"/>
        <v>0.37595549361800379</v>
      </c>
      <c r="P39" s="59">
        <f t="shared" si="34"/>
        <v>0.36341425757354695</v>
      </c>
      <c r="Q39" s="59">
        <f t="shared" si="34"/>
        <v>0.36341424997114125</v>
      </c>
      <c r="R39" s="59">
        <f t="shared" si="34"/>
        <v>0.40840141511240641</v>
      </c>
      <c r="S39" s="59">
        <f t="shared" si="34"/>
        <v>0.5281421139794783</v>
      </c>
      <c r="T39" s="59">
        <f t="shared" si="34"/>
        <v>0.45869546689937901</v>
      </c>
      <c r="U39" s="59">
        <f t="shared" si="34"/>
        <v>0.3357301140831232</v>
      </c>
      <c r="V39" s="59">
        <f t="shared" si="34"/>
        <v>0.31205757684857521</v>
      </c>
      <c r="W39" s="59" t="str">
        <f t="shared" si="34"/>
        <v/>
      </c>
    </row>
    <row r="40" spans="1:23" ht="15.75" customHeight="1" x14ac:dyDescent="0.2">
      <c r="A40" s="257" t="s">
        <v>302</v>
      </c>
      <c r="B40" s="257"/>
      <c r="C40" s="257"/>
      <c r="D40" s="257"/>
      <c r="E40" s="257"/>
      <c r="F40" s="257"/>
      <c r="G40" s="257"/>
      <c r="H40" s="257"/>
      <c r="I40" s="257"/>
      <c r="J40" s="257"/>
      <c r="K40" s="257"/>
    </row>
    <row r="41" spans="1:23" ht="15" customHeight="1" x14ac:dyDescent="0.2">
      <c r="A41" s="96" t="s">
        <v>629</v>
      </c>
      <c r="B41" s="97">
        <v>34626044</v>
      </c>
      <c r="C41" s="97">
        <v>31459480</v>
      </c>
      <c r="D41" s="98">
        <v>24034685</v>
      </c>
      <c r="E41" s="97">
        <v>19031179</v>
      </c>
      <c r="F41" s="98">
        <v>13181425</v>
      </c>
      <c r="G41" s="97">
        <v>6465131</v>
      </c>
      <c r="H41" s="99">
        <v>3923661</v>
      </c>
      <c r="I41" s="100">
        <v>4381083</v>
      </c>
      <c r="J41" s="101">
        <v>7090385</v>
      </c>
      <c r="K41" s="101">
        <v>5378462</v>
      </c>
      <c r="L41" s="102"/>
      <c r="M41" s="103">
        <f t="shared" ref="M41:W41" si="35">IFERROR(B41/B25,"")</f>
        <v>0.1451228318867793</v>
      </c>
      <c r="N41" s="10">
        <f t="shared" si="35"/>
        <v>0.13370996928938106</v>
      </c>
      <c r="O41" s="10">
        <f t="shared" si="35"/>
        <v>0.13370996961163986</v>
      </c>
      <c r="P41" s="10">
        <f t="shared" si="35"/>
        <v>9.9789979488740438E-2</v>
      </c>
      <c r="Q41" s="10">
        <f t="shared" si="35"/>
        <v>9.9789983719184586E-2</v>
      </c>
      <c r="R41" s="10">
        <f t="shared" si="35"/>
        <v>5.1268055763606157E-2</v>
      </c>
      <c r="S41" s="10">
        <f t="shared" si="35"/>
        <v>6.6303872262699043E-2</v>
      </c>
      <c r="T41" s="10">
        <f t="shared" si="35"/>
        <v>0.1392702093187457</v>
      </c>
      <c r="U41" s="10">
        <f t="shared" si="35"/>
        <v>0.28723066902801475</v>
      </c>
      <c r="V41" s="10">
        <f t="shared" si="35"/>
        <v>0.22894381006225903</v>
      </c>
      <c r="W41" s="10" t="str">
        <f t="shared" si="35"/>
        <v/>
      </c>
    </row>
    <row r="42" spans="1:23" ht="15" customHeight="1" x14ac:dyDescent="0.2">
      <c r="A42" s="96" t="s">
        <v>630</v>
      </c>
      <c r="B42" s="97">
        <v>720493</v>
      </c>
      <c r="C42" s="97">
        <v>911311</v>
      </c>
      <c r="D42" s="105">
        <v>696231</v>
      </c>
      <c r="E42" s="97">
        <v>1110896</v>
      </c>
      <c r="F42" s="105">
        <v>769432</v>
      </c>
      <c r="G42" s="97">
        <v>838838</v>
      </c>
      <c r="H42" s="106">
        <v>509087</v>
      </c>
      <c r="I42" s="101">
        <v>457604</v>
      </c>
      <c r="J42" s="101">
        <v>340383</v>
      </c>
      <c r="K42" s="101">
        <v>302714</v>
      </c>
      <c r="L42" s="102"/>
      <c r="M42" s="103">
        <f t="shared" ref="M42:W42" si="36">IFERROR(B42/B25,"")</f>
        <v>3.0196918976537219E-3</v>
      </c>
      <c r="N42" s="10">
        <f t="shared" si="36"/>
        <v>3.8732797180078991E-3</v>
      </c>
      <c r="O42" s="10">
        <f t="shared" si="36"/>
        <v>3.8732783829986384E-3</v>
      </c>
      <c r="P42" s="10">
        <f t="shared" si="36"/>
        <v>5.8249827325003774E-3</v>
      </c>
      <c r="Q42" s="10">
        <f t="shared" si="36"/>
        <v>5.8249852920317516E-3</v>
      </c>
      <c r="R42" s="10">
        <f t="shared" si="36"/>
        <v>6.651929150489273E-3</v>
      </c>
      <c r="S42" s="10">
        <f t="shared" si="36"/>
        <v>8.6027919890634443E-3</v>
      </c>
      <c r="T42" s="10">
        <f t="shared" si="36"/>
        <v>1.4546769569326878E-2</v>
      </c>
      <c r="U42" s="10">
        <f t="shared" si="36"/>
        <v>1.3788875613350016E-2</v>
      </c>
      <c r="V42" s="10">
        <f t="shared" si="36"/>
        <v>1.2885560318021523E-2</v>
      </c>
      <c r="W42" s="10" t="str">
        <f t="shared" si="36"/>
        <v/>
      </c>
    </row>
    <row r="43" spans="1:23" ht="15" customHeight="1" x14ac:dyDescent="0.2">
      <c r="A43" s="96" t="s">
        <v>631</v>
      </c>
      <c r="B43" s="97">
        <v>7014504</v>
      </c>
      <c r="C43" s="97">
        <v>12240</v>
      </c>
      <c r="D43" s="105">
        <v>9351</v>
      </c>
      <c r="E43" s="97">
        <v>4479513</v>
      </c>
      <c r="F43" s="105">
        <v>3102612</v>
      </c>
      <c r="G43" s="97">
        <v>0</v>
      </c>
      <c r="H43" s="105">
        <v>0</v>
      </c>
      <c r="I43" s="101">
        <v>1062094</v>
      </c>
      <c r="J43" s="101">
        <v>211044</v>
      </c>
      <c r="K43" s="97">
        <v>0</v>
      </c>
      <c r="L43" s="102"/>
      <c r="M43" s="103">
        <f t="shared" ref="M43:W43" si="37">IFERROR(B43/B25,"")</f>
        <v>2.9398815664912252E-2</v>
      </c>
      <c r="N43" s="10">
        <f t="shared" si="37"/>
        <v>5.2022793259838504E-5</v>
      </c>
      <c r="O43" s="10">
        <f t="shared" si="37"/>
        <v>5.2021564910813029E-5</v>
      </c>
      <c r="P43" s="10">
        <f t="shared" si="37"/>
        <v>2.3488324627157685E-2</v>
      </c>
      <c r="Q43" s="10">
        <f t="shared" si="37"/>
        <v>2.3488325500994521E-2</v>
      </c>
      <c r="R43" s="10">
        <f t="shared" si="37"/>
        <v>0</v>
      </c>
      <c r="S43" s="10">
        <f t="shared" si="37"/>
        <v>0</v>
      </c>
      <c r="T43" s="10">
        <f t="shared" si="37"/>
        <v>3.3762896912974232E-2</v>
      </c>
      <c r="U43" s="10">
        <f t="shared" si="37"/>
        <v>8.5493678149139076E-3</v>
      </c>
      <c r="V43" s="10">
        <f t="shared" si="37"/>
        <v>0</v>
      </c>
      <c r="W43" s="10" t="str">
        <f t="shared" si="37"/>
        <v/>
      </c>
    </row>
    <row r="44" spans="1:23" ht="15" customHeight="1" x14ac:dyDescent="0.2">
      <c r="A44" s="96" t="s">
        <v>632</v>
      </c>
      <c r="B44" s="97">
        <v>2580148</v>
      </c>
      <c r="C44" s="97">
        <v>2592282</v>
      </c>
      <c r="D44" s="105">
        <v>1980474</v>
      </c>
      <c r="E44" s="97">
        <v>1948028</v>
      </c>
      <c r="F44" s="105">
        <v>1349248</v>
      </c>
      <c r="G44" s="97">
        <v>1900240</v>
      </c>
      <c r="H44" s="106">
        <v>1153248</v>
      </c>
      <c r="I44" s="101">
        <v>315419</v>
      </c>
      <c r="J44" s="101">
        <v>224179</v>
      </c>
      <c r="K44" s="101">
        <v>167216</v>
      </c>
      <c r="L44" s="102"/>
      <c r="M44" s="103">
        <f t="shared" ref="M44:W44" si="38">IFERROR(B44/B25,"")</f>
        <v>1.0813778912976885E-2</v>
      </c>
      <c r="N44" s="10">
        <f t="shared" si="38"/>
        <v>1.101779007820267E-2</v>
      </c>
      <c r="O44" s="10">
        <f t="shared" si="38"/>
        <v>1.1017790262557751E-2</v>
      </c>
      <c r="P44" s="10">
        <f t="shared" si="38"/>
        <v>1.0214484040294722E-2</v>
      </c>
      <c r="Q44" s="10">
        <f t="shared" si="38"/>
        <v>1.021448257325307E-2</v>
      </c>
      <c r="R44" s="10">
        <f t="shared" si="38"/>
        <v>1.5068775912542989E-2</v>
      </c>
      <c r="S44" s="10">
        <f t="shared" si="38"/>
        <v>1.9488128072025882E-2</v>
      </c>
      <c r="T44" s="10">
        <f t="shared" si="38"/>
        <v>1.0026851843051011E-2</v>
      </c>
      <c r="U44" s="10">
        <f t="shared" si="38"/>
        <v>9.0814651322927206E-3</v>
      </c>
      <c r="V44" s="10">
        <f t="shared" si="38"/>
        <v>7.1178467270700627E-3</v>
      </c>
      <c r="W44" s="10" t="str">
        <f t="shared" si="38"/>
        <v/>
      </c>
    </row>
    <row r="45" spans="1:23" ht="15" customHeight="1" x14ac:dyDescent="0.2">
      <c r="A45" s="96" t="s">
        <v>441</v>
      </c>
      <c r="B45" s="97">
        <v>13309642</v>
      </c>
      <c r="C45" s="97">
        <v>14393820</v>
      </c>
      <c r="D45" s="105">
        <v>10996715</v>
      </c>
      <c r="E45" s="97">
        <v>11427909</v>
      </c>
      <c r="F45" s="105">
        <v>7915228</v>
      </c>
      <c r="G45" s="97">
        <v>6577279</v>
      </c>
      <c r="H45" s="106">
        <v>774789</v>
      </c>
      <c r="I45" s="101">
        <v>1504908</v>
      </c>
      <c r="J45" s="101">
        <v>1366979</v>
      </c>
      <c r="K45" s="101">
        <v>1477868</v>
      </c>
      <c r="L45" s="102"/>
      <c r="M45" s="103">
        <f t="shared" ref="M45:W45" si="39">IFERROR(B45/B25,"")</f>
        <v>5.578266285456164E-2</v>
      </c>
      <c r="N45" s="10">
        <f t="shared" si="39"/>
        <v>6.1177019777722927E-2</v>
      </c>
      <c r="O45" s="10">
        <f t="shared" si="39"/>
        <v>6.1177020979383094E-2</v>
      </c>
      <c r="P45" s="10">
        <f t="shared" si="39"/>
        <v>5.9922236279170732E-2</v>
      </c>
      <c r="Q45" s="10">
        <f t="shared" si="39"/>
        <v>5.9922237030794009E-2</v>
      </c>
      <c r="R45" s="10">
        <f t="shared" si="39"/>
        <v>5.2157381891379424E-2</v>
      </c>
      <c r="S45" s="10">
        <f t="shared" si="39"/>
        <v>1.309274957406981E-2</v>
      </c>
      <c r="T45" s="10">
        <f t="shared" si="39"/>
        <v>4.7839507301152467E-2</v>
      </c>
      <c r="U45" s="10">
        <f t="shared" si="39"/>
        <v>5.5376159787831919E-2</v>
      </c>
      <c r="V45" s="10">
        <f t="shared" si="39"/>
        <v>6.2908082401454291E-2</v>
      </c>
      <c r="W45" s="10" t="str">
        <f t="shared" si="39"/>
        <v/>
      </c>
    </row>
    <row r="46" spans="1:23" ht="15" customHeight="1" x14ac:dyDescent="0.2">
      <c r="A46" s="96" t="s">
        <v>633</v>
      </c>
      <c r="B46" s="97">
        <v>0</v>
      </c>
      <c r="C46" s="97">
        <v>0</v>
      </c>
      <c r="D46" s="105">
        <v>0</v>
      </c>
      <c r="E46" s="97">
        <v>0</v>
      </c>
      <c r="F46" s="105">
        <v>0</v>
      </c>
      <c r="G46" s="97">
        <v>2842</v>
      </c>
      <c r="H46" s="118">
        <v>1726</v>
      </c>
      <c r="I46" s="101">
        <v>2716</v>
      </c>
      <c r="J46" s="97">
        <v>48000</v>
      </c>
      <c r="K46" s="97">
        <v>32000</v>
      </c>
      <c r="L46" s="102"/>
      <c r="M46" s="103">
        <f t="shared" ref="M46:W46" si="40">IFERROR(B46/B25,"")</f>
        <v>0</v>
      </c>
      <c r="N46" s="10">
        <f t="shared" si="40"/>
        <v>0</v>
      </c>
      <c r="O46" s="10">
        <f t="shared" si="40"/>
        <v>0</v>
      </c>
      <c r="P46" s="10">
        <f t="shared" si="40"/>
        <v>0</v>
      </c>
      <c r="Q46" s="10">
        <f t="shared" si="40"/>
        <v>0</v>
      </c>
      <c r="R46" s="10">
        <f t="shared" si="40"/>
        <v>2.2536869628808559E-5</v>
      </c>
      <c r="S46" s="10">
        <f t="shared" si="40"/>
        <v>2.9166761227694884E-5</v>
      </c>
      <c r="T46" s="10">
        <f t="shared" si="40"/>
        <v>8.6338900338047306E-5</v>
      </c>
      <c r="U46" s="10">
        <f t="shared" si="40"/>
        <v>1.9444743992526089E-3</v>
      </c>
      <c r="V46" s="10">
        <f t="shared" si="40"/>
        <v>1.3621369681504282E-3</v>
      </c>
      <c r="W46" s="10" t="str">
        <f t="shared" si="40"/>
        <v/>
      </c>
    </row>
    <row r="47" spans="1:23" ht="15.75" customHeight="1" x14ac:dyDescent="0.2">
      <c r="A47" s="108" t="s">
        <v>442</v>
      </c>
      <c r="B47" s="109">
        <f t="shared" ref="B47:K47" si="41">IFERROR(B41+B42+B43+B44+B45+B46,"")</f>
        <v>58250831</v>
      </c>
      <c r="C47" s="109">
        <f t="shared" si="41"/>
        <v>49369133</v>
      </c>
      <c r="D47" s="110">
        <f t="shared" si="41"/>
        <v>37717456</v>
      </c>
      <c r="E47" s="109">
        <f t="shared" si="41"/>
        <v>37997525</v>
      </c>
      <c r="F47" s="110">
        <f t="shared" si="41"/>
        <v>26317945</v>
      </c>
      <c r="G47" s="109">
        <f t="shared" si="41"/>
        <v>15784330</v>
      </c>
      <c r="H47" s="122">
        <f t="shared" si="41"/>
        <v>6362511</v>
      </c>
      <c r="I47" s="112">
        <f t="shared" si="41"/>
        <v>7723824</v>
      </c>
      <c r="J47" s="112">
        <f t="shared" si="41"/>
        <v>9280970</v>
      </c>
      <c r="K47" s="112">
        <f t="shared" si="41"/>
        <v>7358260</v>
      </c>
      <c r="L47" s="113"/>
      <c r="M47" s="114">
        <f t="shared" ref="M47:W47" si="42">IFERROR(B47/B25,"")</f>
        <v>0.24413778121688379</v>
      </c>
      <c r="N47" s="59">
        <f t="shared" si="42"/>
        <v>0.20983008165657438</v>
      </c>
      <c r="O47" s="59">
        <f t="shared" si="42"/>
        <v>0.20983008080149015</v>
      </c>
      <c r="P47" s="59">
        <f t="shared" si="42"/>
        <v>0.19924000716786394</v>
      </c>
      <c r="Q47" s="59">
        <f t="shared" si="42"/>
        <v>0.19924001411625794</v>
      </c>
      <c r="R47" s="59">
        <f t="shared" si="42"/>
        <v>0.12516867958764666</v>
      </c>
      <c r="S47" s="59">
        <f t="shared" si="42"/>
        <v>0.10751670865908587</v>
      </c>
      <c r="T47" s="59">
        <f t="shared" si="42"/>
        <v>0.24553257384558835</v>
      </c>
      <c r="U47" s="59">
        <f t="shared" si="42"/>
        <v>0.37597101177565595</v>
      </c>
      <c r="V47" s="59">
        <f t="shared" si="42"/>
        <v>0.31321743647695532</v>
      </c>
      <c r="W47" s="59" t="str">
        <f t="shared" si="42"/>
        <v/>
      </c>
    </row>
    <row r="48" spans="1:23" ht="15.75" customHeight="1" x14ac:dyDescent="0.2">
      <c r="A48" s="108" t="s">
        <v>67</v>
      </c>
      <c r="B48" s="109">
        <f t="shared" ref="B48:K48" si="43">B39+B47</f>
        <v>142829775</v>
      </c>
      <c r="C48" s="109">
        <f t="shared" si="43"/>
        <v>137824499</v>
      </c>
      <c r="D48" s="110">
        <f t="shared" si="43"/>
        <v>105296350</v>
      </c>
      <c r="E48" s="109">
        <f t="shared" si="43"/>
        <v>107305103</v>
      </c>
      <c r="F48" s="110">
        <f t="shared" si="43"/>
        <v>74321938</v>
      </c>
      <c r="G48" s="109">
        <f t="shared" si="43"/>
        <v>67285574</v>
      </c>
      <c r="H48" s="122">
        <f t="shared" si="43"/>
        <v>37616351</v>
      </c>
      <c r="I48" s="124">
        <f t="shared" si="43"/>
        <v>22153205</v>
      </c>
      <c r="J48" s="112">
        <f t="shared" si="43"/>
        <v>17568580</v>
      </c>
      <c r="K48" s="112">
        <f t="shared" si="43"/>
        <v>14689272</v>
      </c>
      <c r="L48" s="113"/>
      <c r="M48" s="114">
        <f t="shared" ref="M48:W48" si="44">IFERROR(B48/B25,"")</f>
        <v>0.59862054775161466</v>
      </c>
      <c r="N48" s="59">
        <f t="shared" si="44"/>
        <v>0.58578557333478909</v>
      </c>
      <c r="O48" s="59">
        <f t="shared" si="44"/>
        <v>0.58578557441949386</v>
      </c>
      <c r="P48" s="59">
        <f t="shared" si="44"/>
        <v>0.56265426474141089</v>
      </c>
      <c r="Q48" s="59">
        <f t="shared" si="44"/>
        <v>0.56265426408739916</v>
      </c>
      <c r="R48" s="59">
        <f t="shared" si="44"/>
        <v>0.53357009470005301</v>
      </c>
      <c r="S48" s="59">
        <f t="shared" si="44"/>
        <v>0.6356588226385641</v>
      </c>
      <c r="T48" s="59">
        <f t="shared" si="44"/>
        <v>0.70422804074496737</v>
      </c>
      <c r="U48" s="59">
        <f t="shared" si="44"/>
        <v>0.71170112585877909</v>
      </c>
      <c r="V48" s="59">
        <f t="shared" si="44"/>
        <v>0.62527501332553059</v>
      </c>
      <c r="W48" s="59" t="str">
        <f t="shared" si="44"/>
        <v/>
      </c>
    </row>
    <row r="49" spans="1:23" ht="15" customHeight="1" x14ac:dyDescent="0.2">
      <c r="A49" s="96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6"/>
      <c r="M49" s="125"/>
    </row>
    <row r="50" spans="1:23" ht="15.75" customHeight="1" x14ac:dyDescent="0.2">
      <c r="A50" s="257" t="s">
        <v>306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</row>
    <row r="51" spans="1:23" ht="15" customHeight="1" x14ac:dyDescent="0.2">
      <c r="A51" s="96" t="s">
        <v>443</v>
      </c>
      <c r="B51" s="97">
        <v>1181069</v>
      </c>
      <c r="C51" s="97">
        <v>1181069</v>
      </c>
      <c r="D51" s="98">
        <v>1181069</v>
      </c>
      <c r="E51" s="97">
        <v>1181069</v>
      </c>
      <c r="F51" s="98">
        <v>1181069</v>
      </c>
      <c r="G51" s="97">
        <v>1181069</v>
      </c>
      <c r="H51" s="99">
        <v>1181069</v>
      </c>
      <c r="I51" s="100">
        <v>1181069</v>
      </c>
      <c r="J51" s="101">
        <v>1181069</v>
      </c>
      <c r="K51" s="101">
        <v>1181069</v>
      </c>
      <c r="L51" s="102"/>
      <c r="M51" s="103">
        <f t="shared" ref="M51:W51" si="45">IFERROR(B51/B25,"")</f>
        <v>4.9500335046558175E-3</v>
      </c>
      <c r="N51" s="10">
        <f t="shared" si="45"/>
        <v>5.0198127788075326E-3</v>
      </c>
      <c r="O51" s="10">
        <f t="shared" si="45"/>
        <v>6.5705333812051151E-3</v>
      </c>
      <c r="P51" s="10">
        <f t="shared" si="45"/>
        <v>6.1929348299854248E-3</v>
      </c>
      <c r="Q51" s="10">
        <f t="shared" si="45"/>
        <v>8.941283380304756E-3</v>
      </c>
      <c r="R51" s="10">
        <f t="shared" si="45"/>
        <v>9.3657980561672391E-3</v>
      </c>
      <c r="S51" s="10">
        <f t="shared" si="45"/>
        <v>1.9958260438257457E-2</v>
      </c>
      <c r="T51" s="10">
        <f t="shared" si="45"/>
        <v>3.7544992151456999E-2</v>
      </c>
      <c r="U51" s="10">
        <f t="shared" si="45"/>
        <v>4.7844967380226658E-2</v>
      </c>
      <c r="V51" s="10">
        <f t="shared" si="45"/>
        <v>5.0274304588639317E-2</v>
      </c>
      <c r="W51" s="10" t="str">
        <f t="shared" si="45"/>
        <v/>
      </c>
    </row>
    <row r="52" spans="1:23" ht="15" customHeight="1" x14ac:dyDescent="0.2">
      <c r="A52" s="96" t="s">
        <v>444</v>
      </c>
      <c r="B52" s="97">
        <v>18019912</v>
      </c>
      <c r="C52" s="97">
        <v>18019912</v>
      </c>
      <c r="D52" s="105">
        <v>13488262</v>
      </c>
      <c r="E52" s="97">
        <v>13488262</v>
      </c>
      <c r="F52" s="105">
        <v>8979241</v>
      </c>
      <c r="G52" s="97">
        <v>8979241</v>
      </c>
      <c r="H52" s="105">
        <f>IFERROR(G52/1.64773,"")</f>
        <v>5449461.3802018538</v>
      </c>
      <c r="I52" s="97">
        <v>0</v>
      </c>
      <c r="J52" s="97">
        <v>0</v>
      </c>
      <c r="K52" s="97">
        <v>0</v>
      </c>
      <c r="L52" s="102"/>
      <c r="M52" s="103">
        <f t="shared" ref="M52:W52" si="46">IFERROR(B52/B25,"")</f>
        <v>7.5524095671759578E-2</v>
      </c>
      <c r="N52" s="10">
        <f t="shared" si="46"/>
        <v>7.6588738279124421E-2</v>
      </c>
      <c r="O52" s="10">
        <f t="shared" si="46"/>
        <v>7.5038017021393733E-2</v>
      </c>
      <c r="P52" s="10">
        <f t="shared" si="46"/>
        <v>7.0725696412122285E-2</v>
      </c>
      <c r="Q52" s="10">
        <f t="shared" si="46"/>
        <v>6.7977347911977251E-2</v>
      </c>
      <c r="R52" s="10">
        <f t="shared" si="46"/>
        <v>7.1204779656105763E-2</v>
      </c>
      <c r="S52" s="10">
        <f t="shared" si="46"/>
        <v>9.2087565988349981E-2</v>
      </c>
      <c r="T52" s="10">
        <f t="shared" si="46"/>
        <v>0</v>
      </c>
      <c r="U52" s="10">
        <f t="shared" si="46"/>
        <v>0</v>
      </c>
      <c r="V52" s="10">
        <f t="shared" si="46"/>
        <v>0</v>
      </c>
      <c r="W52" s="10" t="str">
        <f t="shared" si="46"/>
        <v/>
      </c>
    </row>
    <row r="53" spans="1:23" ht="15" customHeight="1" x14ac:dyDescent="0.2">
      <c r="A53" s="96" t="s">
        <v>634</v>
      </c>
      <c r="B53" s="97">
        <v>38850140</v>
      </c>
      <c r="C53" s="97">
        <v>38850140</v>
      </c>
      <c r="D53" s="105">
        <v>29681065</v>
      </c>
      <c r="E53" s="97">
        <v>31353365</v>
      </c>
      <c r="F53" s="105">
        <v>21716049</v>
      </c>
      <c r="G53" s="97">
        <v>22277172</v>
      </c>
      <c r="H53" s="106">
        <v>1775976</v>
      </c>
      <c r="I53" s="101">
        <v>1954164</v>
      </c>
      <c r="J53" s="101">
        <v>2416412</v>
      </c>
      <c r="K53" s="101">
        <v>2626532</v>
      </c>
      <c r="L53" s="102"/>
      <c r="M53" s="103">
        <f t="shared" ref="M53:W53" si="47">IFERROR(B53/B25,"")</f>
        <v>0.16282663812238671</v>
      </c>
      <c r="N53" s="10">
        <f t="shared" si="47"/>
        <v>0.16512196089344625</v>
      </c>
      <c r="O53" s="10">
        <f t="shared" si="47"/>
        <v>0.1651219601667801</v>
      </c>
      <c r="P53" s="10">
        <f t="shared" si="47"/>
        <v>0.1644013568603917</v>
      </c>
      <c r="Q53" s="10">
        <f t="shared" si="47"/>
        <v>0.16440135843848558</v>
      </c>
      <c r="R53" s="10">
        <f t="shared" si="47"/>
        <v>0.17665648172503323</v>
      </c>
      <c r="S53" s="10">
        <f t="shared" si="47"/>
        <v>3.0011279222547305E-2</v>
      </c>
      <c r="T53" s="10">
        <f t="shared" si="47"/>
        <v>6.2120902371207619E-2</v>
      </c>
      <c r="U53" s="10">
        <f t="shared" si="47"/>
        <v>9.7888568167641563E-2</v>
      </c>
      <c r="V53" s="10">
        <f t="shared" si="47"/>
        <v>0.11180301047594002</v>
      </c>
      <c r="W53" s="10" t="str">
        <f t="shared" si="47"/>
        <v/>
      </c>
    </row>
    <row r="54" spans="1:23" ht="15" customHeight="1" x14ac:dyDescent="0.2">
      <c r="A54" s="96" t="s">
        <v>635</v>
      </c>
      <c r="B54" s="97">
        <v>-837206</v>
      </c>
      <c r="C54" s="97">
        <v>-8510</v>
      </c>
      <c r="D54" s="105">
        <v>-6502</v>
      </c>
      <c r="E54" s="97">
        <v>84619</v>
      </c>
      <c r="F54" s="105">
        <v>63349</v>
      </c>
      <c r="G54" s="97">
        <v>1666407</v>
      </c>
      <c r="H54" s="106">
        <v>174344</v>
      </c>
      <c r="I54" s="101">
        <v>986687</v>
      </c>
      <c r="J54" s="101">
        <v>-62487</v>
      </c>
      <c r="K54" s="101">
        <v>-2248</v>
      </c>
      <c r="L54" s="102"/>
      <c r="M54" s="103">
        <f t="shared" ref="M54:W54" si="48">IFERROR(B54/B25,"")</f>
        <v>-3.5088532086600174E-3</v>
      </c>
      <c r="N54" s="10">
        <f t="shared" si="48"/>
        <v>-3.6169442045851765E-5</v>
      </c>
      <c r="O54" s="10">
        <f t="shared" si="48"/>
        <v>-3.6171983215710227E-5</v>
      </c>
      <c r="P54" s="10">
        <f t="shared" si="48"/>
        <v>4.4369969271781462E-4</v>
      </c>
      <c r="Q54" s="10">
        <f t="shared" si="48"/>
        <v>4.7958363216622058E-4</v>
      </c>
      <c r="R54" s="10">
        <f t="shared" si="48"/>
        <v>1.3214495885831803E-2</v>
      </c>
      <c r="S54" s="10">
        <f t="shared" si="48"/>
        <v>2.9461470564781209E-3</v>
      </c>
      <c r="T54" s="10">
        <f t="shared" si="48"/>
        <v>3.1365784446924477E-2</v>
      </c>
      <c r="U54" s="10">
        <f t="shared" si="48"/>
        <v>-2.5313410788770367E-3</v>
      </c>
      <c r="V54" s="10">
        <f t="shared" si="48"/>
        <v>-9.5690122012567584E-5</v>
      </c>
      <c r="W54" s="10" t="str">
        <f t="shared" si="48"/>
        <v/>
      </c>
    </row>
    <row r="55" spans="1:23" ht="15" customHeight="1" x14ac:dyDescent="0.2">
      <c r="A55" s="96" t="s">
        <v>636</v>
      </c>
      <c r="B55" s="97">
        <v>4696842</v>
      </c>
      <c r="C55" s="97">
        <v>4511905</v>
      </c>
      <c r="D55" s="105">
        <v>3447044</v>
      </c>
      <c r="E55" s="97">
        <v>3560121</v>
      </c>
      <c r="F55" s="105">
        <v>2465820</v>
      </c>
      <c r="G55" s="97">
        <v>2332161</v>
      </c>
      <c r="H55" s="106">
        <v>696708</v>
      </c>
      <c r="I55" s="101">
        <v>394232</v>
      </c>
      <c r="J55" s="101">
        <v>485378</v>
      </c>
      <c r="K55" s="101">
        <v>251545</v>
      </c>
      <c r="L55" s="102"/>
      <c r="M55" s="103">
        <f t="shared" ref="M55:W55" si="49">IFERROR(B55/B25,"")</f>
        <v>1.9685154098595965E-2</v>
      </c>
      <c r="N55" s="10">
        <f t="shared" si="49"/>
        <v>1.9176625900574479E-2</v>
      </c>
      <c r="O55" s="10">
        <f t="shared" si="49"/>
        <v>1.9176625301724797E-2</v>
      </c>
      <c r="P55" s="10">
        <f t="shared" si="49"/>
        <v>1.8667493042203748E-2</v>
      </c>
      <c r="Q55" s="10">
        <f t="shared" si="49"/>
        <v>1.8667491386890243E-2</v>
      </c>
      <c r="R55" s="10">
        <f t="shared" si="49"/>
        <v>1.849388051034194E-2</v>
      </c>
      <c r="S55" s="10">
        <f t="shared" si="49"/>
        <v>1.1773300047175462E-2</v>
      </c>
      <c r="T55" s="10">
        <f t="shared" si="49"/>
        <v>1.2532237613427493E-2</v>
      </c>
      <c r="U55" s="10">
        <f t="shared" si="49"/>
        <v>1.9662606145009018E-2</v>
      </c>
      <c r="V55" s="10">
        <f t="shared" si="49"/>
        <v>1.0707460739168733E-2</v>
      </c>
      <c r="W55" s="10" t="str">
        <f t="shared" si="49"/>
        <v/>
      </c>
    </row>
    <row r="56" spans="1:23" ht="15" customHeight="1" x14ac:dyDescent="0.2">
      <c r="A56" s="96" t="s">
        <v>450</v>
      </c>
      <c r="B56" s="97">
        <f t="shared" ref="B56:K56" si="50">IFERROR(B25-B48-B57-(B51+B52+B53+B54+B55),"")</f>
        <v>30686369</v>
      </c>
      <c r="C56" s="97">
        <f t="shared" si="50"/>
        <v>41254374</v>
      </c>
      <c r="D56" s="105">
        <f t="shared" si="50"/>
        <v>31517873</v>
      </c>
      <c r="E56" s="97">
        <f t="shared" si="50"/>
        <v>27217726</v>
      </c>
      <c r="F56" s="105">
        <f t="shared" si="50"/>
        <v>18846872</v>
      </c>
      <c r="G56" s="97">
        <f t="shared" si="50"/>
        <v>1748286</v>
      </c>
      <c r="H56" s="118">
        <f t="shared" si="50"/>
        <v>-2215051.3802018538</v>
      </c>
      <c r="I56" s="101">
        <f t="shared" si="50"/>
        <v>2505706</v>
      </c>
      <c r="J56" s="101">
        <f t="shared" si="50"/>
        <v>2008699</v>
      </c>
      <c r="K56" s="101">
        <f t="shared" si="50"/>
        <v>3712706</v>
      </c>
      <c r="L56" s="102"/>
      <c r="M56" s="103">
        <f t="shared" ref="M56:W56" si="51">IFERROR(B56/B25,"")</f>
        <v>0.12861107580186393</v>
      </c>
      <c r="N56" s="10">
        <f t="shared" si="51"/>
        <v>0.17534050405768437</v>
      </c>
      <c r="O56" s="10">
        <f t="shared" si="51"/>
        <v>0.17534050648275706</v>
      </c>
      <c r="P56" s="10">
        <f t="shared" si="51"/>
        <v>0.14271613541495023</v>
      </c>
      <c r="Q56" s="10">
        <f t="shared" si="51"/>
        <v>0.14268025270693843</v>
      </c>
      <c r="R56" s="10">
        <f t="shared" si="51"/>
        <v>1.3863790871172132E-2</v>
      </c>
      <c r="S56" s="10">
        <f t="shared" si="51"/>
        <v>-3.7430981873362378E-2</v>
      </c>
      <c r="T56" s="10">
        <f t="shared" si="51"/>
        <v>7.9653866204141083E-2</v>
      </c>
      <c r="U56" s="10">
        <f t="shared" si="51"/>
        <v>8.1372162110506588E-2</v>
      </c>
      <c r="V56" s="10">
        <f t="shared" si="51"/>
        <v>0.15803794045230951</v>
      </c>
      <c r="W56" s="10" t="str">
        <f t="shared" si="51"/>
        <v/>
      </c>
    </row>
    <row r="57" spans="1:23" ht="15.75" customHeight="1" x14ac:dyDescent="0.2">
      <c r="A57" s="108" t="s">
        <v>637</v>
      </c>
      <c r="B57" s="109">
        <f>ENJSA_PLS!B21</f>
        <v>3171282</v>
      </c>
      <c r="C57" s="109">
        <f>ENJSA_PLS!C21</f>
        <v>-6351905</v>
      </c>
      <c r="D57" s="110">
        <f>ENJSA_PLS!D21</f>
        <v>-4852783</v>
      </c>
      <c r="E57" s="109">
        <f>ENJSA_PLS!E21</f>
        <v>6522060</v>
      </c>
      <c r="F57" s="110">
        <f>ENJSA_PLS!F21</f>
        <v>4517326</v>
      </c>
      <c r="G57" s="109">
        <f>ENJSA_PLS!G21</f>
        <v>20634560</v>
      </c>
      <c r="H57" s="122">
        <f>ENJSA_PLS!H21</f>
        <v>14498093</v>
      </c>
      <c r="I57" s="112">
        <f>ENJSA_PLS!I21</f>
        <v>2282368</v>
      </c>
      <c r="J57" s="112">
        <f>ENJSA_PLS!J21</f>
        <v>1087683</v>
      </c>
      <c r="K57" s="112">
        <f>ENJSA_PLS!K21</f>
        <v>1033622</v>
      </c>
      <c r="L57" s="113"/>
      <c r="M57" s="114">
        <f t="shared" ref="M57:W57" si="52">IFERROR(B57/B25,"")</f>
        <v>1.3291308257783338E-2</v>
      </c>
      <c r="N57" s="59">
        <f t="shared" si="52"/>
        <v>-2.6997045802380267E-2</v>
      </c>
      <c r="O57" s="59">
        <f t="shared" si="52"/>
        <v>-2.6997044790139021E-2</v>
      </c>
      <c r="P57" s="59">
        <f t="shared" si="52"/>
        <v>3.4198419006217874E-2</v>
      </c>
      <c r="Q57" s="59">
        <f t="shared" si="52"/>
        <v>3.4198418455838361E-2</v>
      </c>
      <c r="R57" s="59">
        <f t="shared" si="52"/>
        <v>0.16363067859529484</v>
      </c>
      <c r="S57" s="59">
        <f t="shared" si="52"/>
        <v>0.24499560648198992</v>
      </c>
      <c r="T57" s="59">
        <f t="shared" si="52"/>
        <v>7.2554176467874945E-2</v>
      </c>
      <c r="U57" s="59">
        <f t="shared" si="52"/>
        <v>4.4061911416714068E-2</v>
      </c>
      <c r="V57" s="59">
        <f t="shared" si="52"/>
        <v>4.3997960540424437E-2</v>
      </c>
      <c r="W57" s="59" t="str">
        <f t="shared" si="52"/>
        <v/>
      </c>
    </row>
    <row r="58" spans="1:23" ht="15.75" customHeight="1" x14ac:dyDescent="0.2">
      <c r="A58" s="108" t="s">
        <v>70</v>
      </c>
      <c r="B58" s="109">
        <f t="shared" ref="B58:K58" si="53">IFERROR(B51+B52+B53+B54+B55+B56+B57,"")</f>
        <v>95768408</v>
      </c>
      <c r="C58" s="109">
        <f t="shared" si="53"/>
        <v>97456985</v>
      </c>
      <c r="D58" s="110">
        <f t="shared" si="53"/>
        <v>74456028</v>
      </c>
      <c r="E58" s="109">
        <f t="shared" si="53"/>
        <v>83407222</v>
      </c>
      <c r="F58" s="110">
        <f t="shared" si="53"/>
        <v>57769726</v>
      </c>
      <c r="G58" s="109">
        <f t="shared" si="53"/>
        <v>58818896</v>
      </c>
      <c r="H58" s="123">
        <f t="shared" si="53"/>
        <v>21560600</v>
      </c>
      <c r="I58" s="124">
        <f t="shared" si="53"/>
        <v>9304226</v>
      </c>
      <c r="J58" s="112">
        <f t="shared" si="53"/>
        <v>7116754</v>
      </c>
      <c r="K58" s="112">
        <f t="shared" si="53"/>
        <v>8803226</v>
      </c>
      <c r="L58" s="113"/>
      <c r="M58" s="114">
        <f t="shared" ref="M58:W58" si="54">IFERROR(B58/B25,"")</f>
        <v>0.40137945224838534</v>
      </c>
      <c r="N58" s="59">
        <f t="shared" si="54"/>
        <v>0.41421442666521091</v>
      </c>
      <c r="O58" s="59">
        <f t="shared" si="54"/>
        <v>0.41421442558050608</v>
      </c>
      <c r="P58" s="59">
        <f t="shared" si="54"/>
        <v>0.43734573525858911</v>
      </c>
      <c r="Q58" s="59">
        <f t="shared" si="54"/>
        <v>0.43734573591260079</v>
      </c>
      <c r="R58" s="59">
        <f t="shared" si="54"/>
        <v>0.46642990529994693</v>
      </c>
      <c r="S58" s="59">
        <f t="shared" si="54"/>
        <v>0.3643411773614359</v>
      </c>
      <c r="T58" s="59">
        <f t="shared" si="54"/>
        <v>0.29577195925503263</v>
      </c>
      <c r="U58" s="59">
        <f t="shared" si="54"/>
        <v>0.28829887414122085</v>
      </c>
      <c r="V58" s="59">
        <f t="shared" si="54"/>
        <v>0.37472498667446946</v>
      </c>
      <c r="W58" s="59" t="str">
        <f t="shared" si="54"/>
        <v/>
      </c>
    </row>
    <row r="59" spans="1:23" ht="15.75" customHeight="1" x14ac:dyDescent="0.2">
      <c r="A59" s="108" t="s">
        <v>454</v>
      </c>
      <c r="B59" s="109">
        <f t="shared" ref="B59:K59" si="55">IFERROR(B48+B58,"")</f>
        <v>238598183</v>
      </c>
      <c r="C59" s="109">
        <f t="shared" si="55"/>
        <v>235281484</v>
      </c>
      <c r="D59" s="110">
        <f t="shared" si="55"/>
        <v>179752378</v>
      </c>
      <c r="E59" s="109">
        <f t="shared" si="55"/>
        <v>190712325</v>
      </c>
      <c r="F59" s="110">
        <f t="shared" si="55"/>
        <v>132091664</v>
      </c>
      <c r="G59" s="109">
        <f t="shared" si="55"/>
        <v>126104470</v>
      </c>
      <c r="H59" s="122">
        <f t="shared" si="55"/>
        <v>59176951</v>
      </c>
      <c r="I59" s="124">
        <f t="shared" si="55"/>
        <v>31457431</v>
      </c>
      <c r="J59" s="112">
        <f t="shared" si="55"/>
        <v>24685334</v>
      </c>
      <c r="K59" s="112">
        <f t="shared" si="55"/>
        <v>23492498</v>
      </c>
      <c r="L59" s="113"/>
      <c r="M59" s="114">
        <f t="shared" ref="M59:W59" si="56">IFERROR(B59/B25,"")</f>
        <v>1</v>
      </c>
      <c r="N59" s="59">
        <f t="shared" si="56"/>
        <v>1</v>
      </c>
      <c r="O59" s="59">
        <f t="shared" si="56"/>
        <v>1</v>
      </c>
      <c r="P59" s="59">
        <f t="shared" si="56"/>
        <v>1</v>
      </c>
      <c r="Q59" s="59">
        <f t="shared" si="56"/>
        <v>1</v>
      </c>
      <c r="R59" s="59">
        <f t="shared" si="56"/>
        <v>1</v>
      </c>
      <c r="S59" s="59">
        <f t="shared" si="56"/>
        <v>1</v>
      </c>
      <c r="T59" s="59">
        <f t="shared" si="56"/>
        <v>1</v>
      </c>
      <c r="U59" s="59">
        <f t="shared" si="56"/>
        <v>1</v>
      </c>
      <c r="V59" s="59">
        <f t="shared" si="56"/>
        <v>1</v>
      </c>
      <c r="W59" s="59" t="str">
        <f t="shared" si="56"/>
        <v/>
      </c>
    </row>
    <row r="60" spans="1:23" ht="15" customHeight="1" x14ac:dyDescent="0.2">
      <c r="A60" s="96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128"/>
      <c r="M60" s="97"/>
    </row>
    <row r="61" spans="1:23" ht="15" customHeight="1" x14ac:dyDescent="0.2">
      <c r="A61" s="96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6"/>
      <c r="M61" s="125"/>
    </row>
    <row r="62" spans="1:23" ht="15" customHeight="1" x14ac:dyDescent="0.2"/>
    <row r="64" spans="1:23" ht="21.75" customHeight="1" x14ac:dyDescent="0.2">
      <c r="L64" s="91"/>
      <c r="M64" s="254" t="s">
        <v>314</v>
      </c>
      <c r="N64" s="254"/>
      <c r="O64" s="254"/>
      <c r="P64" s="254"/>
      <c r="Q64" s="254"/>
      <c r="R64" s="254"/>
      <c r="S64" s="254"/>
      <c r="T64" s="254"/>
      <c r="U64" s="254"/>
      <c r="V64" s="254"/>
      <c r="W64" s="254"/>
    </row>
    <row r="65" spans="11:19" ht="15" customHeight="1" x14ac:dyDescent="0.2">
      <c r="L65" s="129"/>
      <c r="M65" s="2" t="s">
        <v>315</v>
      </c>
      <c r="N65" s="2" t="s">
        <v>316</v>
      </c>
      <c r="O65" s="2" t="s">
        <v>317</v>
      </c>
      <c r="P65" s="2" t="s">
        <v>318</v>
      </c>
      <c r="Q65" s="2" t="s">
        <v>319</v>
      </c>
      <c r="R65" s="2" t="s">
        <v>638</v>
      </c>
      <c r="S65" s="2" t="s">
        <v>639</v>
      </c>
    </row>
    <row r="66" spans="11:19" ht="15" customHeight="1" x14ac:dyDescent="0.2">
      <c r="K66" s="8" t="s">
        <v>410</v>
      </c>
      <c r="L66" s="10"/>
      <c r="M66" s="10">
        <f t="shared" ref="M66:M74" si="57">IFERROR((B5-C5)/ABS(C5),"-")</f>
        <v>-0.66349307935616308</v>
      </c>
      <c r="N66" s="10">
        <f t="shared" ref="N66:N74" si="58">IFERROR((D5-E5)/ABS(E5),"-")</f>
        <v>0.45993193864383841</v>
      </c>
      <c r="O66" s="10">
        <f t="shared" ref="O66:O74" si="59">IFERROR((F5-G5)/ABS(G5),"-")</f>
        <v>-0.67366010544823107</v>
      </c>
      <c r="P66" s="10">
        <f t="shared" ref="P66:P74" si="60">IFERROR((H5-I5)/ABS(I5),"-")</f>
        <v>19.318324142216355</v>
      </c>
      <c r="Q66" s="10">
        <f t="shared" ref="Q66:Q74" si="61">IFERROR((I5-J5)/ABS(J5),"-")</f>
        <v>-0.30001308253379794</v>
      </c>
      <c r="R66" s="10">
        <f t="shared" ref="R66:R74" si="62">IFERROR((J5-K5)/ABS(K5),"-")</f>
        <v>0.25284916962191295</v>
      </c>
      <c r="S66" s="10" t="str">
        <f t="shared" ref="S66:S74" si="63">IFERROR((K5-L5)/ABS(L5),"-")</f>
        <v>-</v>
      </c>
    </row>
    <row r="67" spans="11:19" ht="15" customHeight="1" x14ac:dyDescent="0.2">
      <c r="K67" s="8" t="s">
        <v>614</v>
      </c>
      <c r="L67" s="10"/>
      <c r="M67" s="10">
        <f t="shared" si="57"/>
        <v>-3.8741312641977145E-2</v>
      </c>
      <c r="N67" s="10">
        <f t="shared" si="58"/>
        <v>7.7523632312767642E-3</v>
      </c>
      <c r="O67" s="10">
        <f t="shared" si="59"/>
        <v>8.2089153858696459E-2</v>
      </c>
      <c r="P67" s="10">
        <f t="shared" si="60"/>
        <v>7.8723323416653151E-3</v>
      </c>
      <c r="Q67" s="10">
        <f t="shared" si="61"/>
        <v>0.41232530645897641</v>
      </c>
      <c r="R67" s="10">
        <f t="shared" si="62"/>
        <v>1.1374648400163851</v>
      </c>
      <c r="S67" s="10" t="str">
        <f t="shared" si="63"/>
        <v>-</v>
      </c>
    </row>
    <row r="68" spans="11:19" ht="15" customHeight="1" x14ac:dyDescent="0.2">
      <c r="K68" s="8" t="s">
        <v>412</v>
      </c>
      <c r="L68" s="10"/>
      <c r="M68" s="10">
        <f t="shared" si="57"/>
        <v>0.27583577770011319</v>
      </c>
      <c r="N68" s="10">
        <f t="shared" si="58"/>
        <v>-8.8028489938039217E-2</v>
      </c>
      <c r="O68" s="10">
        <f t="shared" si="59"/>
        <v>0.65747697009340011</v>
      </c>
      <c r="P68" s="10">
        <f t="shared" si="60"/>
        <v>2.0586580725505378E-2</v>
      </c>
      <c r="Q68" s="10">
        <f t="shared" si="61"/>
        <v>0.89314997479335301</v>
      </c>
      <c r="R68" s="10">
        <f t="shared" si="62"/>
        <v>-2.1860104238142785E-2</v>
      </c>
      <c r="S68" s="10" t="str">
        <f t="shared" si="63"/>
        <v>-</v>
      </c>
    </row>
    <row r="69" spans="11:19" ht="15" customHeight="1" x14ac:dyDescent="0.2">
      <c r="K69" s="8" t="s">
        <v>413</v>
      </c>
      <c r="L69" s="10"/>
      <c r="M69" s="10">
        <f t="shared" si="57"/>
        <v>0.43907319757004681</v>
      </c>
      <c r="N69" s="10">
        <f t="shared" si="58"/>
        <v>-0.21364740661058262</v>
      </c>
      <c r="O69" s="10">
        <f t="shared" si="59"/>
        <v>0.78605308841649502</v>
      </c>
      <c r="P69" s="10">
        <f t="shared" si="60"/>
        <v>0.56028908330163563</v>
      </c>
      <c r="Q69" s="10">
        <f t="shared" si="61"/>
        <v>1.0266962348154764</v>
      </c>
      <c r="R69" s="10">
        <f t="shared" si="62"/>
        <v>-0.42400674461047333</v>
      </c>
      <c r="S69" s="10" t="str">
        <f t="shared" si="63"/>
        <v>-</v>
      </c>
    </row>
    <row r="70" spans="11:19" ht="15" customHeight="1" x14ac:dyDescent="0.2">
      <c r="K70" s="8" t="s">
        <v>414</v>
      </c>
      <c r="L70" s="10"/>
      <c r="M70" s="10">
        <f t="shared" si="57"/>
        <v>-1</v>
      </c>
      <c r="N70" s="10">
        <f t="shared" si="58"/>
        <v>-0.98834430875494861</v>
      </c>
      <c r="O70" s="10">
        <f t="shared" si="59"/>
        <v>0.47496662907047732</v>
      </c>
      <c r="P70" s="10">
        <f t="shared" si="60"/>
        <v>-0.84847698064852817</v>
      </c>
      <c r="Q70" s="10">
        <f t="shared" si="61"/>
        <v>41.929795375145567</v>
      </c>
      <c r="R70" s="10">
        <f t="shared" si="62"/>
        <v>3.606718610295057</v>
      </c>
      <c r="S70" s="10" t="str">
        <f t="shared" si="63"/>
        <v>-</v>
      </c>
    </row>
    <row r="71" spans="11:19" ht="15" customHeight="1" x14ac:dyDescent="0.2">
      <c r="K71" s="8" t="s">
        <v>415</v>
      </c>
      <c r="L71" s="10"/>
      <c r="M71" s="10">
        <f t="shared" si="57"/>
        <v>-0.29608444710003023</v>
      </c>
      <c r="N71" s="10">
        <f t="shared" si="58"/>
        <v>-0.32366598590710116</v>
      </c>
      <c r="O71" s="10">
        <f t="shared" si="59"/>
        <v>0.2732490952134225</v>
      </c>
      <c r="P71" s="10">
        <f t="shared" si="60"/>
        <v>2.4916482288523856</v>
      </c>
      <c r="Q71" s="10">
        <f t="shared" si="61"/>
        <v>1.6392157556668376</v>
      </c>
      <c r="R71" s="10">
        <f t="shared" si="62"/>
        <v>0.2848438459148333</v>
      </c>
      <c r="S71" s="10" t="str">
        <f t="shared" si="63"/>
        <v>-</v>
      </c>
    </row>
    <row r="72" spans="11:19" ht="15" customHeight="1" x14ac:dyDescent="0.2">
      <c r="K72" s="8" t="s">
        <v>615</v>
      </c>
      <c r="L72" s="10"/>
      <c r="M72" s="10">
        <f t="shared" si="57"/>
        <v>-0.11058831987139005</v>
      </c>
      <c r="N72" s="10">
        <f t="shared" si="58"/>
        <v>-0.63873447962188423</v>
      </c>
      <c r="O72" s="10">
        <f t="shared" si="59"/>
        <v>0.62297268158826125</v>
      </c>
      <c r="P72" s="10">
        <f t="shared" si="60"/>
        <v>2.412431033254439</v>
      </c>
      <c r="Q72" s="10">
        <f t="shared" si="61"/>
        <v>4.7258305760775956</v>
      </c>
      <c r="R72" s="10">
        <f t="shared" si="62"/>
        <v>6.2406702942167859E-2</v>
      </c>
      <c r="S72" s="10" t="str">
        <f t="shared" si="63"/>
        <v>-</v>
      </c>
    </row>
    <row r="73" spans="11:19" ht="15" customHeight="1" x14ac:dyDescent="0.2">
      <c r="K73" s="8" t="s">
        <v>418</v>
      </c>
      <c r="L73" s="10"/>
      <c r="M73" s="10">
        <f t="shared" si="57"/>
        <v>-0.56923872307336476</v>
      </c>
      <c r="N73" s="10">
        <f t="shared" si="58"/>
        <v>-0.56625156602280857</v>
      </c>
      <c r="O73" s="10">
        <f t="shared" si="59"/>
        <v>19.78874859558076</v>
      </c>
      <c r="P73" s="10">
        <f t="shared" si="60"/>
        <v>0.29506793012901017</v>
      </c>
      <c r="Q73" s="10">
        <f t="shared" si="61"/>
        <v>5.7741686001546793</v>
      </c>
      <c r="R73" s="10">
        <f t="shared" si="62"/>
        <v>30.408906882591094</v>
      </c>
      <c r="S73" s="10" t="str">
        <f t="shared" si="63"/>
        <v>-</v>
      </c>
    </row>
    <row r="74" spans="11:19" ht="15" customHeight="1" x14ac:dyDescent="0.2">
      <c r="K74" s="1" t="s">
        <v>56</v>
      </c>
      <c r="L74" s="59"/>
      <c r="M74" s="59">
        <f t="shared" si="57"/>
        <v>-7.3086867249581178E-3</v>
      </c>
      <c r="N74" s="59">
        <f t="shared" si="58"/>
        <v>-0.12516497157448228</v>
      </c>
      <c r="O74" s="59">
        <f t="shared" si="59"/>
        <v>0.10574321250329799</v>
      </c>
      <c r="P74" s="59">
        <f t="shared" si="60"/>
        <v>0.71858773023194089</v>
      </c>
      <c r="Q74" s="59">
        <f t="shared" si="61"/>
        <v>0.90219737222752938</v>
      </c>
      <c r="R74" s="59">
        <f t="shared" si="62"/>
        <v>0.1634373378532637</v>
      </c>
      <c r="S74" s="59" t="str">
        <f t="shared" si="63"/>
        <v>-</v>
      </c>
    </row>
    <row r="75" spans="11:19" ht="15" customHeight="1" x14ac:dyDescent="0.2">
      <c r="K75" s="8" t="s">
        <v>616</v>
      </c>
      <c r="L75" s="10"/>
      <c r="M75" s="10">
        <f t="shared" ref="M75:M85" si="64">IFERROR((B15-C15)/ABS(C15),"-")</f>
        <v>0.16035294809819381</v>
      </c>
      <c r="N75" s="10">
        <f t="shared" ref="N75:N85" si="65">IFERROR((D15-E15)/ABS(E15),"-")</f>
        <v>3.7327487811776114</v>
      </c>
      <c r="O75" s="10">
        <f t="shared" ref="O75:O85" si="66">IFERROR((F15-G15)/ABS(G15),"-")</f>
        <v>3.5782753114376487</v>
      </c>
      <c r="P75" s="10">
        <f t="shared" ref="P75:P85" si="67">IFERROR((H15-I15)/ABS(I15),"-")</f>
        <v>-0.41355913978494624</v>
      </c>
      <c r="Q75" s="10">
        <f t="shared" ref="Q75:Q85" si="68">IFERROR((I15-J15)/ABS(J15),"-")</f>
        <v>0.36764705882352944</v>
      </c>
      <c r="R75" s="10">
        <f t="shared" ref="R75:R85" si="69">IFERROR((J15-K15)/ABS(K15),"-")</f>
        <v>0.38775510204081631</v>
      </c>
      <c r="S75" s="10" t="str">
        <f t="shared" ref="S75:S85" si="70">IFERROR((K15-L15)/ABS(L15),"-")</f>
        <v>-</v>
      </c>
    </row>
    <row r="76" spans="11:19" ht="15" customHeight="1" x14ac:dyDescent="0.2">
      <c r="K76" s="8" t="s">
        <v>617</v>
      </c>
      <c r="L76" s="10"/>
      <c r="M76" s="10">
        <f t="shared" si="64"/>
        <v>-0.44314491768039072</v>
      </c>
      <c r="N76" s="10">
        <f t="shared" si="65"/>
        <v>0.83715503723109574</v>
      </c>
      <c r="O76" s="10">
        <f t="shared" si="66"/>
        <v>-0.70011830659958219</v>
      </c>
      <c r="P76" s="10">
        <f t="shared" si="67"/>
        <v>5.9728249525235846</v>
      </c>
      <c r="Q76" s="10">
        <f t="shared" si="68"/>
        <v>-0.26630782263566155</v>
      </c>
      <c r="R76" s="10">
        <f t="shared" si="69"/>
        <v>0.2656817614973378</v>
      </c>
      <c r="S76" s="10" t="str">
        <f t="shared" si="70"/>
        <v>-</v>
      </c>
    </row>
    <row r="77" spans="11:19" ht="15" customHeight="1" x14ac:dyDescent="0.2">
      <c r="K77" s="8" t="s">
        <v>618</v>
      </c>
      <c r="L77" s="10"/>
      <c r="M77" s="10">
        <f t="shared" si="64"/>
        <v>0.17822978277882104</v>
      </c>
      <c r="N77" s="10">
        <f t="shared" si="65"/>
        <v>-7.3285673547073563E-2</v>
      </c>
      <c r="O77" s="10">
        <f t="shared" si="66"/>
        <v>0.32798310022482108</v>
      </c>
      <c r="P77" s="10">
        <f t="shared" si="67"/>
        <v>0.23621122491059091</v>
      </c>
      <c r="Q77" s="10">
        <f t="shared" si="68"/>
        <v>4.5549213273450732E-2</v>
      </c>
      <c r="R77" s="10">
        <f t="shared" si="69"/>
        <v>-3.4243325188882581E-2</v>
      </c>
      <c r="S77" s="10" t="str">
        <f t="shared" si="70"/>
        <v>-</v>
      </c>
    </row>
    <row r="78" spans="11:19" ht="15" customHeight="1" x14ac:dyDescent="0.2">
      <c r="K78" s="8" t="s">
        <v>422</v>
      </c>
      <c r="L78" s="10"/>
      <c r="M78" s="10">
        <f t="shared" si="64"/>
        <v>0.68016794766506394</v>
      </c>
      <c r="N78" s="10">
        <f t="shared" si="65"/>
        <v>-0.11189836001491957</v>
      </c>
      <c r="O78" s="10">
        <f t="shared" si="66"/>
        <v>-5.5850996076832936E-2</v>
      </c>
      <c r="P78" s="10">
        <f t="shared" si="67"/>
        <v>0.51179955971209545</v>
      </c>
      <c r="Q78" s="10">
        <f t="shared" si="68"/>
        <v>0.81994871102712918</v>
      </c>
      <c r="R78" s="10">
        <f t="shared" si="69"/>
        <v>-3.2388663967611336E-2</v>
      </c>
      <c r="S78" s="10" t="str">
        <f t="shared" si="70"/>
        <v>-</v>
      </c>
    </row>
    <row r="79" spans="11:19" ht="15" customHeight="1" x14ac:dyDescent="0.2">
      <c r="K79" s="8" t="s">
        <v>421</v>
      </c>
      <c r="L79" s="10"/>
      <c r="M79" s="10">
        <f t="shared" si="64"/>
        <v>5.0305859824198523E-2</v>
      </c>
      <c r="N79" s="10">
        <f t="shared" si="65"/>
        <v>4.635944801211541E-2</v>
      </c>
      <c r="O79" s="10">
        <f t="shared" si="66"/>
        <v>0.12072855319863264</v>
      </c>
      <c r="P79" s="10">
        <f t="shared" si="67"/>
        <v>0.13151345347374951</v>
      </c>
      <c r="Q79" s="10">
        <f t="shared" si="68"/>
        <v>0.60053200037683363</v>
      </c>
      <c r="R79" s="10">
        <f t="shared" si="69"/>
        <v>0.86592505733719649</v>
      </c>
      <c r="S79" s="10" t="str">
        <f t="shared" si="70"/>
        <v>-</v>
      </c>
    </row>
    <row r="80" spans="11:19" ht="15" customHeight="1" x14ac:dyDescent="0.2">
      <c r="K80" s="8" t="s">
        <v>619</v>
      </c>
      <c r="L80" s="10"/>
      <c r="M80" s="10">
        <f t="shared" si="64"/>
        <v>-5.2237316653162273E-2</v>
      </c>
      <c r="N80" s="10">
        <f t="shared" si="65"/>
        <v>-5.0287497384323331E-2</v>
      </c>
      <c r="O80" s="10">
        <f t="shared" si="66"/>
        <v>-4.557490532448278E-2</v>
      </c>
      <c r="P80" s="10">
        <f t="shared" si="67"/>
        <v>-2.0614944979748404E-2</v>
      </c>
      <c r="Q80" s="10">
        <f t="shared" si="68"/>
        <v>-2.0701628872323515E-2</v>
      </c>
      <c r="R80" s="10">
        <f t="shared" si="69"/>
        <v>-2.9223757540958448E-2</v>
      </c>
      <c r="S80" s="10" t="str">
        <f t="shared" si="70"/>
        <v>-</v>
      </c>
    </row>
    <row r="81" spans="11:19" ht="15" customHeight="1" x14ac:dyDescent="0.2">
      <c r="K81" s="8" t="s">
        <v>620</v>
      </c>
      <c r="L81" s="10"/>
      <c r="M81" s="10">
        <f t="shared" si="64"/>
        <v>0.39449362208797323</v>
      </c>
      <c r="N81" s="10">
        <f t="shared" si="65"/>
        <v>6.6782502044153716E-2</v>
      </c>
      <c r="O81" s="10">
        <f t="shared" si="66"/>
        <v>2.9159026119115494</v>
      </c>
      <c r="P81" s="10">
        <f t="shared" si="67"/>
        <v>3.0039184952978055</v>
      </c>
      <c r="Q81" s="10">
        <f t="shared" si="68"/>
        <v>-0.15065453738628801</v>
      </c>
      <c r="R81" s="10">
        <f t="shared" si="69"/>
        <v>1.7448233861144946</v>
      </c>
      <c r="S81" s="10" t="str">
        <f t="shared" si="70"/>
        <v>-</v>
      </c>
    </row>
    <row r="82" spans="11:19" ht="15" customHeight="1" x14ac:dyDescent="0.2">
      <c r="K82" s="8" t="s">
        <v>425</v>
      </c>
      <c r="L82" s="10"/>
      <c r="M82" s="10">
        <f t="shared" si="64"/>
        <v>-1.1531410210739369E-2</v>
      </c>
      <c r="N82" s="10">
        <f t="shared" si="65"/>
        <v>-0.19763214266200987</v>
      </c>
      <c r="O82" s="10">
        <f t="shared" si="66"/>
        <v>7.4924334948730742E-2</v>
      </c>
      <c r="P82" s="10">
        <f t="shared" si="67"/>
        <v>37.793895284116388</v>
      </c>
      <c r="Q82" s="10">
        <f t="shared" si="68"/>
        <v>-0.11912127858220128</v>
      </c>
      <c r="R82" s="10">
        <f t="shared" si="69"/>
        <v>0.4834699229634486</v>
      </c>
      <c r="S82" s="10" t="str">
        <f t="shared" si="70"/>
        <v>-</v>
      </c>
    </row>
    <row r="83" spans="11:19" ht="15" customHeight="1" x14ac:dyDescent="0.2">
      <c r="K83" s="8" t="s">
        <v>621</v>
      </c>
      <c r="L83" s="10"/>
      <c r="M83" s="10">
        <f t="shared" si="64"/>
        <v>-0.34333321285285717</v>
      </c>
      <c r="N83" s="10">
        <f t="shared" si="65"/>
        <v>-0.46931960833542558</v>
      </c>
      <c r="O83" s="10">
        <f t="shared" si="66"/>
        <v>0.31730493744628019</v>
      </c>
      <c r="P83" s="10">
        <f t="shared" si="67"/>
        <v>5.6118314424635329E-2</v>
      </c>
      <c r="Q83" s="10">
        <f t="shared" si="68"/>
        <v>11.656410256410256</v>
      </c>
      <c r="R83" s="10">
        <f t="shared" si="69"/>
        <v>-0.94057595611762912</v>
      </c>
      <c r="S83" s="10" t="str">
        <f t="shared" si="70"/>
        <v>-</v>
      </c>
    </row>
    <row r="84" spans="11:19" ht="15" customHeight="1" x14ac:dyDescent="0.2">
      <c r="K84" s="1" t="s">
        <v>60</v>
      </c>
      <c r="L84" s="59"/>
      <c r="M84" s="59">
        <f t="shared" si="64"/>
        <v>2.2666290164481951E-2</v>
      </c>
      <c r="N84" s="59">
        <f t="shared" si="65"/>
        <v>-2.7335784049795961E-2</v>
      </c>
      <c r="O84" s="59">
        <f t="shared" si="66"/>
        <v>2.3472982896274402E-2</v>
      </c>
      <c r="P84" s="59">
        <f t="shared" si="67"/>
        <v>0.9926553716516765</v>
      </c>
      <c r="Q84" s="59">
        <f t="shared" si="68"/>
        <v>3.9158458701504771E-2</v>
      </c>
      <c r="R84" s="59">
        <f t="shared" si="69"/>
        <v>1.3995721681889669E-2</v>
      </c>
      <c r="S84" s="59" t="str">
        <f t="shared" si="70"/>
        <v>-</v>
      </c>
    </row>
    <row r="85" spans="11:19" ht="15" customHeight="1" x14ac:dyDescent="0.2">
      <c r="K85" s="1" t="s">
        <v>61</v>
      </c>
      <c r="L85" s="59"/>
      <c r="M85" s="59">
        <f t="shared" si="64"/>
        <v>1.4096727645597475E-2</v>
      </c>
      <c r="N85" s="59">
        <f t="shared" si="65"/>
        <v>-5.7468477718993778E-2</v>
      </c>
      <c r="O85" s="59">
        <f t="shared" si="66"/>
        <v>4.7478047368186074E-2</v>
      </c>
      <c r="P85" s="59">
        <f t="shared" si="67"/>
        <v>0.88117557978590177</v>
      </c>
      <c r="Q85" s="59">
        <f t="shared" si="68"/>
        <v>0.2743368592865707</v>
      </c>
      <c r="R85" s="59">
        <f t="shared" si="69"/>
        <v>5.0775187891896383E-2</v>
      </c>
      <c r="S85" s="59" t="str">
        <f t="shared" si="70"/>
        <v>-</v>
      </c>
    </row>
    <row r="86" spans="11:19" ht="15" customHeight="1" x14ac:dyDescent="0.2">
      <c r="K86" s="8" t="s">
        <v>426</v>
      </c>
      <c r="L86" s="10"/>
      <c r="M86" s="10">
        <f t="shared" ref="M86:M96" si="71">IFERROR((B29-C29)/ABS(C29),"-")</f>
        <v>0.44907004376855941</v>
      </c>
      <c r="N86" s="10">
        <f t="shared" ref="N86:N96" si="72">IFERROR((D29-E29)/ABS(E29),"-")</f>
        <v>-0.41828391260394598</v>
      </c>
      <c r="O86" s="10">
        <f t="shared" ref="O86:O96" si="73">IFERROR((F29-G29)/ABS(G29),"-")</f>
        <v>-0.46299152400863258</v>
      </c>
      <c r="P86" s="10">
        <f t="shared" ref="P86:P96" si="74">IFERROR((H29-I29)/ABS(I29),"-")</f>
        <v>6.8646039910907488</v>
      </c>
      <c r="Q86" s="10">
        <f t="shared" ref="Q86:Q96" si="75">IFERROR((I29-J29)/ABS(J29),"-")</f>
        <v>-5.3268207623239215E-2</v>
      </c>
      <c r="R86" s="10">
        <f t="shared" ref="R86:R96" si="76">IFERROR((J29-K29)/ABS(K29),"-")</f>
        <v>0.62476544513301424</v>
      </c>
      <c r="S86" s="10" t="str">
        <f t="shared" ref="S86:S96" si="77">IFERROR((K29-L29)/ABS(L29),"-")</f>
        <v>-</v>
      </c>
    </row>
    <row r="87" spans="11:19" ht="15" customHeight="1" x14ac:dyDescent="0.2">
      <c r="K87" s="8" t="s">
        <v>622</v>
      </c>
      <c r="L87" s="10"/>
      <c r="M87" s="10">
        <f t="shared" si="71"/>
        <v>-0.31607749223011028</v>
      </c>
      <c r="N87" s="10">
        <f t="shared" si="72"/>
        <v>0.27678719831267157</v>
      </c>
      <c r="O87" s="10">
        <f t="shared" si="73"/>
        <v>0.12266876846934796</v>
      </c>
      <c r="P87" s="10">
        <f t="shared" si="74"/>
        <v>0.32015781312855651</v>
      </c>
      <c r="Q87" s="10">
        <f t="shared" si="75"/>
        <v>2.3658462784395566</v>
      </c>
      <c r="R87" s="10">
        <f t="shared" si="76"/>
        <v>-0.47836364932595205</v>
      </c>
      <c r="S87" s="10" t="str">
        <f t="shared" si="77"/>
        <v>-</v>
      </c>
    </row>
    <row r="88" spans="11:19" ht="15" customHeight="1" x14ac:dyDescent="0.2">
      <c r="K88" s="8" t="s">
        <v>623</v>
      </c>
      <c r="L88" s="10"/>
      <c r="M88" s="10">
        <f t="shared" si="71"/>
        <v>0.13210336194233238</v>
      </c>
      <c r="N88" s="10">
        <f t="shared" si="72"/>
        <v>-0.1813146288220415</v>
      </c>
      <c r="O88" s="10">
        <f t="shared" si="73"/>
        <v>2.6980410577847586E-2</v>
      </c>
      <c r="P88" s="10">
        <f t="shared" si="74"/>
        <v>-0.30154493314299713</v>
      </c>
      <c r="Q88" s="10">
        <f t="shared" si="75"/>
        <v>0.72216807529493909</v>
      </c>
      <c r="R88" s="10">
        <f t="shared" si="76"/>
        <v>0.34305642388246327</v>
      </c>
      <c r="S88" s="10" t="str">
        <f t="shared" si="77"/>
        <v>-</v>
      </c>
    </row>
    <row r="89" spans="11:19" ht="15" customHeight="1" x14ac:dyDescent="0.2">
      <c r="K89" s="8" t="s">
        <v>430</v>
      </c>
      <c r="L89" s="10"/>
      <c r="M89" s="10">
        <f t="shared" si="71"/>
        <v>8.9943312546689316E-2</v>
      </c>
      <c r="N89" s="10">
        <f t="shared" si="72"/>
        <v>-0.15182412211016172</v>
      </c>
      <c r="O89" s="10">
        <f t="shared" si="73"/>
        <v>0.45258384370240912</v>
      </c>
      <c r="P89" s="10">
        <f t="shared" si="74"/>
        <v>0.701095917249833</v>
      </c>
      <c r="Q89" s="10">
        <f t="shared" si="75"/>
        <v>1.0796225573390961</v>
      </c>
      <c r="R89" s="10">
        <f t="shared" si="76"/>
        <v>-0.26698485997197141</v>
      </c>
      <c r="S89" s="10" t="str">
        <f t="shared" si="77"/>
        <v>-</v>
      </c>
    </row>
    <row r="90" spans="11:19" ht="15" customHeight="1" x14ac:dyDescent="0.2">
      <c r="K90" s="8" t="s">
        <v>624</v>
      </c>
      <c r="L90" s="10"/>
      <c r="M90" s="10">
        <f t="shared" si="71"/>
        <v>-0.43895224231779456</v>
      </c>
      <c r="N90" s="10">
        <f t="shared" si="72"/>
        <v>0.28540520517641166</v>
      </c>
      <c r="O90" s="10">
        <f t="shared" si="73"/>
        <v>0.71167423128555907</v>
      </c>
      <c r="P90" s="10">
        <f t="shared" si="74"/>
        <v>1.9010658583092945</v>
      </c>
      <c r="Q90" s="10">
        <f t="shared" si="75"/>
        <v>0.4120367973213207</v>
      </c>
      <c r="R90" s="10">
        <f t="shared" si="76"/>
        <v>0.10659307078192444</v>
      </c>
      <c r="S90" s="10" t="str">
        <f t="shared" si="77"/>
        <v>-</v>
      </c>
    </row>
    <row r="91" spans="11:19" ht="15" customHeight="1" x14ac:dyDescent="0.2">
      <c r="K91" s="8" t="s">
        <v>625</v>
      </c>
      <c r="L91" s="10"/>
      <c r="M91" s="10">
        <f t="shared" si="71"/>
        <v>-3.4671105062754289E-2</v>
      </c>
      <c r="N91" s="10">
        <f t="shared" si="72"/>
        <v>1.0323074202946115E-2</v>
      </c>
      <c r="O91" s="10">
        <f t="shared" si="73"/>
        <v>1.6233342715330976E-2</v>
      </c>
      <c r="P91" s="10">
        <f t="shared" si="74"/>
        <v>0.85895723360069687</v>
      </c>
      <c r="Q91" s="10">
        <f t="shared" si="75"/>
        <v>0.1198587711805425</v>
      </c>
      <c r="R91" s="10">
        <f t="shared" si="76"/>
        <v>13.76627161342036</v>
      </c>
      <c r="S91" s="10" t="str">
        <f t="shared" si="77"/>
        <v>-</v>
      </c>
    </row>
    <row r="92" spans="11:19" ht="15" customHeight="1" x14ac:dyDescent="0.2">
      <c r="K92" s="8" t="s">
        <v>433</v>
      </c>
      <c r="L92" s="10"/>
      <c r="M92" s="10">
        <f t="shared" si="71"/>
        <v>1.6995859842569203</v>
      </c>
      <c r="N92" s="10">
        <f t="shared" si="72"/>
        <v>4.5867095884111286</v>
      </c>
      <c r="O92" s="10">
        <f t="shared" si="73"/>
        <v>-0.73366931918656053</v>
      </c>
      <c r="P92" s="10">
        <f t="shared" si="74"/>
        <v>1.3551478829745864</v>
      </c>
      <c r="Q92" s="10">
        <f t="shared" si="75"/>
        <v>-0.68786948450663998</v>
      </c>
      <c r="R92" s="10">
        <f t="shared" si="76"/>
        <v>1.101267721851324</v>
      </c>
      <c r="S92" s="10" t="str">
        <f t="shared" si="77"/>
        <v>-</v>
      </c>
    </row>
    <row r="93" spans="11:19" ht="15" customHeight="1" x14ac:dyDescent="0.2">
      <c r="K93" s="8" t="s">
        <v>626</v>
      </c>
      <c r="L93" s="10"/>
      <c r="M93" s="10">
        <f t="shared" si="71"/>
        <v>0.50205092392871697</v>
      </c>
      <c r="N93" s="10">
        <f t="shared" si="72"/>
        <v>2.2560490014830465</v>
      </c>
      <c r="O93" s="10">
        <f t="shared" si="73"/>
        <v>-0.97862929891588812</v>
      </c>
      <c r="P93" s="10">
        <f t="shared" si="74"/>
        <v>6.2552717452458646</v>
      </c>
      <c r="Q93" s="10">
        <f t="shared" si="75"/>
        <v>0.48084581673970639</v>
      </c>
      <c r="R93" s="10">
        <f t="shared" si="76"/>
        <v>1.0455025733665086</v>
      </c>
      <c r="S93" s="10" t="str">
        <f t="shared" si="77"/>
        <v>-</v>
      </c>
    </row>
    <row r="94" spans="11:19" ht="15" customHeight="1" x14ac:dyDescent="0.2">
      <c r="K94" s="8" t="s">
        <v>627</v>
      </c>
      <c r="L94" s="10"/>
      <c r="M94" s="10">
        <f t="shared" si="71"/>
        <v>0.15096159075194804</v>
      </c>
      <c r="N94" s="10">
        <f t="shared" si="72"/>
        <v>-6.5324605706716136E-3</v>
      </c>
      <c r="O94" s="10">
        <f t="shared" si="73"/>
        <v>0.3148394752455666</v>
      </c>
      <c r="P94" s="10">
        <f t="shared" si="74"/>
        <v>0.36949213055249769</v>
      </c>
      <c r="Q94" s="10">
        <f t="shared" si="75"/>
        <v>6.9958645278355769E-2</v>
      </c>
      <c r="R94" s="10">
        <f t="shared" si="76"/>
        <v>0.1955568011182385</v>
      </c>
      <c r="S94" s="10" t="str">
        <f t="shared" si="77"/>
        <v>-</v>
      </c>
    </row>
    <row r="95" spans="11:19" ht="15" customHeight="1" x14ac:dyDescent="0.2">
      <c r="K95" s="8" t="s">
        <v>628</v>
      </c>
      <c r="L95" s="10"/>
      <c r="M95" s="10">
        <f t="shared" si="71"/>
        <v>1.6646000047350725E-2</v>
      </c>
      <c r="N95" s="10">
        <f t="shared" si="72"/>
        <v>0.16300199010914629</v>
      </c>
      <c r="O95" s="10">
        <f t="shared" si="73"/>
        <v>-0.65361886201574837</v>
      </c>
      <c r="P95" s="10">
        <f t="shared" si="74"/>
        <v>2.126300213256735</v>
      </c>
      <c r="Q95" s="10">
        <f t="shared" si="75"/>
        <v>4.4621180663952986E-2</v>
      </c>
      <c r="R95" s="10">
        <f t="shared" si="76"/>
        <v>8.0061936125914959E-2</v>
      </c>
      <c r="S95" s="10" t="str">
        <f t="shared" si="77"/>
        <v>-</v>
      </c>
    </row>
    <row r="96" spans="11:19" ht="15" customHeight="1" x14ac:dyDescent="0.2">
      <c r="K96" s="1" t="s">
        <v>437</v>
      </c>
      <c r="L96" s="59"/>
      <c r="M96" s="59">
        <f t="shared" si="71"/>
        <v>-4.3823480420622535E-2</v>
      </c>
      <c r="N96" s="59">
        <f t="shared" si="72"/>
        <v>-2.4942207618335762E-2</v>
      </c>
      <c r="O96" s="59">
        <f t="shared" si="73"/>
        <v>-6.7906146111732762E-2</v>
      </c>
      <c r="P96" s="59">
        <f t="shared" si="74"/>
        <v>1.1659861916460588</v>
      </c>
      <c r="Q96" s="59">
        <f t="shared" si="75"/>
        <v>0.74107867044901965</v>
      </c>
      <c r="R96" s="59">
        <f t="shared" si="76"/>
        <v>0.1304864867224334</v>
      </c>
      <c r="S96" s="59" t="str">
        <f t="shared" si="77"/>
        <v>-</v>
      </c>
    </row>
    <row r="97" spans="11:19" ht="15" customHeight="1" x14ac:dyDescent="0.2">
      <c r="K97" s="8" t="s">
        <v>629</v>
      </c>
      <c r="L97" s="10"/>
      <c r="M97" s="10">
        <f t="shared" ref="M97:M104" si="78">IFERROR((B41-C41)/ABS(C41),"-")</f>
        <v>0.10065531915975726</v>
      </c>
      <c r="N97" s="10">
        <f t="shared" ref="N97:N104" si="79">IFERROR((D41-E41)/ABS(E41),"-")</f>
        <v>0.26291098412767805</v>
      </c>
      <c r="O97" s="10">
        <f t="shared" ref="O97:O104" si="80">IFERROR((F41-G41)/ABS(G41),"-")</f>
        <v>1.0388488647793834</v>
      </c>
      <c r="P97" s="10">
        <f t="shared" ref="P97:S104" si="81">IFERROR((H41-I41)/ABS(I41),"-")</f>
        <v>-0.10440843051820749</v>
      </c>
      <c r="Q97" s="10">
        <f t="shared" si="81"/>
        <v>-0.38210929307787939</v>
      </c>
      <c r="R97" s="10">
        <f t="shared" si="81"/>
        <v>0.31829229248063851</v>
      </c>
      <c r="S97" s="10" t="str">
        <f t="shared" si="81"/>
        <v>-</v>
      </c>
    </row>
    <row r="98" spans="11:19" ht="15" customHeight="1" x14ac:dyDescent="0.2">
      <c r="K98" s="8" t="s">
        <v>630</v>
      </c>
      <c r="L98" s="10"/>
      <c r="M98" s="10">
        <f t="shared" si="78"/>
        <v>-0.20938845246024684</v>
      </c>
      <c r="N98" s="10">
        <f t="shared" si="79"/>
        <v>-0.37327076522014663</v>
      </c>
      <c r="O98" s="10">
        <f t="shared" si="80"/>
        <v>-8.2740648373106601E-2</v>
      </c>
      <c r="P98" s="10">
        <f t="shared" si="81"/>
        <v>0.11250557250373686</v>
      </c>
      <c r="Q98" s="10">
        <f t="shared" si="81"/>
        <v>0.34437971344044799</v>
      </c>
      <c r="R98" s="10">
        <f t="shared" si="81"/>
        <v>0.12443758795430671</v>
      </c>
      <c r="S98" s="10" t="str">
        <f t="shared" si="81"/>
        <v>-</v>
      </c>
    </row>
    <row r="99" spans="11:19" ht="15" customHeight="1" x14ac:dyDescent="0.2">
      <c r="K99" s="8" t="s">
        <v>631</v>
      </c>
      <c r="L99" s="10"/>
      <c r="M99" s="10">
        <f t="shared" si="78"/>
        <v>572.08039215686279</v>
      </c>
      <c r="N99" s="10">
        <f t="shared" si="79"/>
        <v>-0.99791249629144951</v>
      </c>
      <c r="O99" s="10" t="str">
        <f t="shared" si="80"/>
        <v>-</v>
      </c>
      <c r="P99" s="10">
        <f t="shared" si="81"/>
        <v>-1</v>
      </c>
      <c r="Q99" s="10">
        <f t="shared" si="81"/>
        <v>4.0325714069104075</v>
      </c>
      <c r="R99" s="10" t="str">
        <f t="shared" si="81"/>
        <v>-</v>
      </c>
      <c r="S99" s="10" t="str">
        <f t="shared" si="81"/>
        <v>-</v>
      </c>
    </row>
    <row r="100" spans="11:19" ht="15" customHeight="1" x14ac:dyDescent="0.2">
      <c r="K100" s="8" t="s">
        <v>632</v>
      </c>
      <c r="L100" s="10"/>
      <c r="M100" s="10">
        <f t="shared" si="78"/>
        <v>-4.6808179048421434E-3</v>
      </c>
      <c r="N100" s="10">
        <f t="shared" si="79"/>
        <v>1.6655818088857039E-2</v>
      </c>
      <c r="O100" s="10">
        <f t="shared" si="80"/>
        <v>-0.28995916305308805</v>
      </c>
      <c r="P100" s="10">
        <f t="shared" si="81"/>
        <v>2.6562413805129053</v>
      </c>
      <c r="Q100" s="10">
        <f t="shared" si="81"/>
        <v>0.40699619500488449</v>
      </c>
      <c r="R100" s="10">
        <f t="shared" si="81"/>
        <v>0.34065520045928621</v>
      </c>
      <c r="S100" s="10" t="str">
        <f t="shared" si="81"/>
        <v>-</v>
      </c>
    </row>
    <row r="101" spans="11:19" ht="15" customHeight="1" x14ac:dyDescent="0.2">
      <c r="K101" s="8" t="s">
        <v>441</v>
      </c>
      <c r="L101" s="10"/>
      <c r="M101" s="10">
        <f t="shared" si="78"/>
        <v>-7.5322464780023649E-2</v>
      </c>
      <c r="N101" s="10">
        <f t="shared" si="79"/>
        <v>-3.7731662021459916E-2</v>
      </c>
      <c r="O101" s="10">
        <f t="shared" si="80"/>
        <v>0.20341983364245306</v>
      </c>
      <c r="P101" s="10">
        <f t="shared" si="81"/>
        <v>-0.48515856118779355</v>
      </c>
      <c r="Q101" s="10">
        <f t="shared" si="81"/>
        <v>0.10090059905821523</v>
      </c>
      <c r="R101" s="10">
        <f t="shared" si="81"/>
        <v>-7.5033088205441897E-2</v>
      </c>
      <c r="S101" s="10" t="str">
        <f t="shared" si="81"/>
        <v>-</v>
      </c>
    </row>
    <row r="102" spans="11:19" ht="15" customHeight="1" x14ac:dyDescent="0.2">
      <c r="K102" s="8" t="s">
        <v>633</v>
      </c>
      <c r="L102" s="10"/>
      <c r="M102" s="10" t="str">
        <f t="shared" si="78"/>
        <v>-</v>
      </c>
      <c r="N102" s="10" t="str">
        <f t="shared" si="79"/>
        <v>-</v>
      </c>
      <c r="O102" s="10">
        <f t="shared" si="80"/>
        <v>-1</v>
      </c>
      <c r="P102" s="10">
        <f t="shared" si="81"/>
        <v>-0.36450662739322531</v>
      </c>
      <c r="Q102" s="10">
        <f t="shared" si="81"/>
        <v>-0.94341666666666668</v>
      </c>
      <c r="R102" s="10">
        <f t="shared" si="81"/>
        <v>0.5</v>
      </c>
      <c r="S102" s="10" t="str">
        <f t="shared" si="81"/>
        <v>-</v>
      </c>
    </row>
    <row r="103" spans="11:19" ht="15" customHeight="1" x14ac:dyDescent="0.2">
      <c r="K103" s="1" t="s">
        <v>442</v>
      </c>
      <c r="L103" s="59"/>
      <c r="M103" s="59">
        <f t="shared" si="78"/>
        <v>0.17990386827331969</v>
      </c>
      <c r="N103" s="59">
        <f t="shared" si="79"/>
        <v>-7.3707169085354901E-3</v>
      </c>
      <c r="O103" s="59">
        <f t="shared" si="80"/>
        <v>0.66734634919568969</v>
      </c>
      <c r="P103" s="59">
        <f t="shared" si="81"/>
        <v>-0.17624857842436595</v>
      </c>
      <c r="Q103" s="59">
        <f t="shared" si="81"/>
        <v>-0.1677783679938627</v>
      </c>
      <c r="R103" s="59">
        <f t="shared" si="81"/>
        <v>0.26129954636014491</v>
      </c>
      <c r="S103" s="59" t="str">
        <f t="shared" si="81"/>
        <v>-</v>
      </c>
    </row>
    <row r="104" spans="11:19" ht="15" customHeight="1" x14ac:dyDescent="0.2">
      <c r="K104" s="1" t="s">
        <v>67</v>
      </c>
      <c r="L104" s="59"/>
      <c r="M104" s="59">
        <f t="shared" si="78"/>
        <v>3.6316301066329292E-2</v>
      </c>
      <c r="N104" s="59">
        <f t="shared" si="79"/>
        <v>-1.8720013716402657E-2</v>
      </c>
      <c r="O104" s="59">
        <f t="shared" si="80"/>
        <v>0.10457462991992905</v>
      </c>
      <c r="P104" s="59">
        <f t="shared" si="81"/>
        <v>0.69800943023819806</v>
      </c>
      <c r="Q104" s="59">
        <f t="shared" si="81"/>
        <v>0.26095592244791554</v>
      </c>
      <c r="R104" s="59">
        <f t="shared" si="81"/>
        <v>0.19601434298445833</v>
      </c>
      <c r="S104" s="59" t="str">
        <f t="shared" si="81"/>
        <v>-</v>
      </c>
    </row>
    <row r="105" spans="11:19" ht="15" customHeight="1" x14ac:dyDescent="0.2">
      <c r="K105" s="8" t="s">
        <v>443</v>
      </c>
      <c r="L105" s="10"/>
      <c r="M105" s="10">
        <f t="shared" ref="M105:M113" si="82">IFERROR((B51-C51)/ABS(C51),"-")</f>
        <v>0</v>
      </c>
      <c r="N105" s="10">
        <f t="shared" ref="N105:N113" si="83">IFERROR((D51-E51)/ABS(E51),"-")</f>
        <v>0</v>
      </c>
      <c r="O105" s="10">
        <f t="shared" ref="O105:O113" si="84">IFERROR((F51-G51)/ABS(G51),"-")</f>
        <v>0</v>
      </c>
      <c r="P105" s="10">
        <f t="shared" ref="P105:P113" si="85">IFERROR((H51-I51)/ABS(I51),"-")</f>
        <v>0</v>
      </c>
      <c r="Q105" s="10">
        <f t="shared" ref="Q105:Q113" si="86">IFERROR((I51-J51)/ABS(J51),"-")</f>
        <v>0</v>
      </c>
      <c r="R105" s="10">
        <f t="shared" ref="R105:R113" si="87">IFERROR((J51-K51)/ABS(K51),"-")</f>
        <v>0</v>
      </c>
      <c r="S105" s="10" t="str">
        <f t="shared" ref="S105:S113" si="88">IFERROR((K51-L51)/ABS(L51),"-")</f>
        <v>-</v>
      </c>
    </row>
    <row r="106" spans="11:19" ht="15" customHeight="1" x14ac:dyDescent="0.2">
      <c r="K106" s="8" t="s">
        <v>444</v>
      </c>
      <c r="L106" s="10"/>
      <c r="M106" s="10">
        <f t="shared" si="82"/>
        <v>0</v>
      </c>
      <c r="N106" s="10">
        <f t="shared" si="83"/>
        <v>0</v>
      </c>
      <c r="O106" s="10">
        <f t="shared" si="84"/>
        <v>0</v>
      </c>
      <c r="P106" s="10" t="str">
        <f t="shared" si="85"/>
        <v>-</v>
      </c>
      <c r="Q106" s="10" t="str">
        <f t="shared" si="86"/>
        <v>-</v>
      </c>
      <c r="R106" s="10" t="str">
        <f t="shared" si="87"/>
        <v>-</v>
      </c>
      <c r="S106" s="10" t="str">
        <f t="shared" si="88"/>
        <v>-</v>
      </c>
    </row>
    <row r="107" spans="11:19" ht="15" customHeight="1" x14ac:dyDescent="0.2">
      <c r="K107" s="8" t="s">
        <v>634</v>
      </c>
      <c r="L107" s="10"/>
      <c r="M107" s="10">
        <f t="shared" si="82"/>
        <v>0</v>
      </c>
      <c r="N107" s="10">
        <f t="shared" si="83"/>
        <v>-5.3337177684117797E-2</v>
      </c>
      <c r="O107" s="10">
        <f t="shared" si="84"/>
        <v>-2.5188251004211844E-2</v>
      </c>
      <c r="P107" s="10">
        <f t="shared" si="85"/>
        <v>-9.1183749163325084E-2</v>
      </c>
      <c r="Q107" s="10">
        <f t="shared" si="86"/>
        <v>-0.19129519303827328</v>
      </c>
      <c r="R107" s="10">
        <f t="shared" si="87"/>
        <v>-7.9999025330740312E-2</v>
      </c>
      <c r="S107" s="10" t="str">
        <f t="shared" si="88"/>
        <v>-</v>
      </c>
    </row>
    <row r="108" spans="11:19" ht="15" customHeight="1" x14ac:dyDescent="0.2">
      <c r="K108" s="8" t="s">
        <v>635</v>
      </c>
      <c r="L108" s="10"/>
      <c r="M108" s="10">
        <f t="shared" si="82"/>
        <v>-97.379083431257342</v>
      </c>
      <c r="N108" s="10">
        <f t="shared" si="83"/>
        <v>-1.0768385350807739</v>
      </c>
      <c r="O108" s="10">
        <f t="shared" si="84"/>
        <v>-0.96198467721270975</v>
      </c>
      <c r="P108" s="10">
        <f t="shared" si="85"/>
        <v>-0.82330364137766077</v>
      </c>
      <c r="Q108" s="10">
        <f t="shared" si="86"/>
        <v>16.790276377486517</v>
      </c>
      <c r="R108" s="10">
        <f t="shared" si="87"/>
        <v>-26.796708185053379</v>
      </c>
      <c r="S108" s="10" t="str">
        <f t="shared" si="88"/>
        <v>-</v>
      </c>
    </row>
    <row r="109" spans="11:19" ht="15" customHeight="1" x14ac:dyDescent="0.2">
      <c r="K109" s="8" t="s">
        <v>636</v>
      </c>
      <c r="L109" s="10"/>
      <c r="M109" s="10">
        <f t="shared" si="82"/>
        <v>4.098867329875075E-2</v>
      </c>
      <c r="N109" s="10">
        <f t="shared" si="83"/>
        <v>-3.1762122691897272E-2</v>
      </c>
      <c r="O109" s="10">
        <f t="shared" si="84"/>
        <v>5.7311223367511932E-2</v>
      </c>
      <c r="P109" s="10">
        <f t="shared" si="85"/>
        <v>0.76725379979301533</v>
      </c>
      <c r="Q109" s="10">
        <f t="shared" si="86"/>
        <v>-0.18778354189930321</v>
      </c>
      <c r="R109" s="10">
        <f t="shared" si="87"/>
        <v>0.92958715140432124</v>
      </c>
      <c r="S109" s="10" t="str">
        <f t="shared" si="88"/>
        <v>-</v>
      </c>
    </row>
    <row r="110" spans="11:19" ht="15" customHeight="1" x14ac:dyDescent="0.2">
      <c r="K110" s="8" t="s">
        <v>450</v>
      </c>
      <c r="L110" s="10"/>
      <c r="M110" s="10">
        <f t="shared" si="82"/>
        <v>-0.25616689759975514</v>
      </c>
      <c r="N110" s="10">
        <f t="shared" si="83"/>
        <v>0.15799067857469062</v>
      </c>
      <c r="O110" s="10">
        <f t="shared" si="84"/>
        <v>9.7801995783298619</v>
      </c>
      <c r="P110" s="10">
        <f t="shared" si="85"/>
        <v>-1.8840029038529875</v>
      </c>
      <c r="Q110" s="10">
        <f t="shared" si="86"/>
        <v>0.24742731489386913</v>
      </c>
      <c r="R110" s="10">
        <f t="shared" si="87"/>
        <v>-0.45896631728986892</v>
      </c>
      <c r="S110" s="10" t="str">
        <f t="shared" si="88"/>
        <v>-</v>
      </c>
    </row>
    <row r="111" spans="11:19" ht="15" customHeight="1" x14ac:dyDescent="0.2">
      <c r="K111" s="1" t="s">
        <v>637</v>
      </c>
      <c r="L111" s="59"/>
      <c r="M111" s="59">
        <f t="shared" si="82"/>
        <v>1.4992647087763435</v>
      </c>
      <c r="N111" s="59">
        <f t="shared" si="83"/>
        <v>-1.7440567857394749</v>
      </c>
      <c r="O111" s="59">
        <f t="shared" si="84"/>
        <v>-0.78107960625281081</v>
      </c>
      <c r="P111" s="59">
        <f t="shared" si="85"/>
        <v>5.35221533074421</v>
      </c>
      <c r="Q111" s="59">
        <f t="shared" si="86"/>
        <v>1.0983760893569174</v>
      </c>
      <c r="R111" s="59">
        <f t="shared" si="87"/>
        <v>5.2302485821702709E-2</v>
      </c>
      <c r="S111" s="59" t="str">
        <f t="shared" si="88"/>
        <v>-</v>
      </c>
    </row>
    <row r="112" spans="11:19" ht="15" customHeight="1" x14ac:dyDescent="0.2">
      <c r="K112" s="1" t="s">
        <v>70</v>
      </c>
      <c r="L112" s="59"/>
      <c r="M112" s="59">
        <f t="shared" si="82"/>
        <v>-1.7326382506087173E-2</v>
      </c>
      <c r="N112" s="59">
        <f t="shared" si="83"/>
        <v>-0.10731917195371883</v>
      </c>
      <c r="O112" s="59">
        <f t="shared" si="84"/>
        <v>-1.7837295008053193E-2</v>
      </c>
      <c r="P112" s="59">
        <f t="shared" si="85"/>
        <v>1.3172910890169693</v>
      </c>
      <c r="Q112" s="59">
        <f t="shared" si="86"/>
        <v>0.30736934282117945</v>
      </c>
      <c r="R112" s="59">
        <f t="shared" si="87"/>
        <v>-0.19157431605186553</v>
      </c>
      <c r="S112" s="59" t="str">
        <f t="shared" si="88"/>
        <v>-</v>
      </c>
    </row>
    <row r="113" spans="11:19" ht="15" customHeight="1" x14ac:dyDescent="0.2">
      <c r="K113" s="1" t="s">
        <v>454</v>
      </c>
      <c r="L113" s="59"/>
      <c r="M113" s="59">
        <f t="shared" si="82"/>
        <v>1.4096727645597475E-2</v>
      </c>
      <c r="N113" s="59">
        <f t="shared" si="83"/>
        <v>-5.7468477718993778E-2</v>
      </c>
      <c r="O113" s="59">
        <f t="shared" si="84"/>
        <v>4.7478047368186074E-2</v>
      </c>
      <c r="P113" s="59">
        <f t="shared" si="85"/>
        <v>0.88117557978590177</v>
      </c>
      <c r="Q113" s="59">
        <f t="shared" si="86"/>
        <v>0.2743368592865707</v>
      </c>
      <c r="R113" s="59">
        <f t="shared" si="87"/>
        <v>5.0775187891896383E-2</v>
      </c>
      <c r="S113" s="59" t="str">
        <f t="shared" si="88"/>
        <v>-</v>
      </c>
    </row>
  </sheetData>
  <mergeCells count="10">
    <mergeCell ref="A1:K1"/>
    <mergeCell ref="M1:W1"/>
    <mergeCell ref="A3:K3"/>
    <mergeCell ref="A4:K4"/>
    <mergeCell ref="A14:K14"/>
    <mergeCell ref="A27:K27"/>
    <mergeCell ref="A28:K28"/>
    <mergeCell ref="A40:K40"/>
    <mergeCell ref="A50:K50"/>
    <mergeCell ref="M64:W6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5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3" customWidth="1"/>
    <col min="2" max="11" width="18" customWidth="1"/>
    <col min="12" max="12" width="3" customWidth="1"/>
    <col min="13" max="23" width="18" customWidth="1"/>
  </cols>
  <sheetData>
    <row r="1" spans="1:23" ht="21.75" customHeight="1" x14ac:dyDescent="0.2">
      <c r="A1" s="259" t="s">
        <v>640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91"/>
      <c r="M1" s="254" t="s">
        <v>321</v>
      </c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 spans="1:23" ht="27.75" customHeight="1" x14ac:dyDescent="0.2">
      <c r="A2" s="92" t="s">
        <v>2</v>
      </c>
      <c r="B2" s="130" t="s">
        <v>641</v>
      </c>
      <c r="C2" s="130" t="s">
        <v>642</v>
      </c>
      <c r="D2" s="130" t="s">
        <v>643</v>
      </c>
      <c r="E2" s="130" t="s">
        <v>644</v>
      </c>
      <c r="F2" s="130" t="s">
        <v>645</v>
      </c>
      <c r="G2" s="130" t="s">
        <v>646</v>
      </c>
      <c r="H2" s="130" t="s">
        <v>647</v>
      </c>
      <c r="I2" s="130" t="s">
        <v>648</v>
      </c>
      <c r="J2" s="130" t="s">
        <v>649</v>
      </c>
      <c r="K2" s="130" t="s">
        <v>650</v>
      </c>
      <c r="L2" s="94"/>
      <c r="M2" s="95" t="s">
        <v>641</v>
      </c>
      <c r="N2" s="7" t="s">
        <v>642</v>
      </c>
      <c r="O2" s="7" t="s">
        <v>643</v>
      </c>
      <c r="P2" s="7" t="s">
        <v>644</v>
      </c>
      <c r="Q2" s="7" t="s">
        <v>645</v>
      </c>
      <c r="R2" s="7" t="s">
        <v>646</v>
      </c>
      <c r="S2" s="7" t="s">
        <v>647</v>
      </c>
      <c r="T2" s="7" t="s">
        <v>648</v>
      </c>
      <c r="U2" s="7" t="s">
        <v>649</v>
      </c>
      <c r="V2" s="7" t="s">
        <v>650</v>
      </c>
      <c r="W2" s="7" t="s">
        <v>641</v>
      </c>
    </row>
    <row r="3" spans="1:23" ht="15" customHeight="1" x14ac:dyDescent="0.2">
      <c r="A3" s="257" t="s">
        <v>465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23" ht="13.5" customHeight="1" x14ac:dyDescent="0.2">
      <c r="A4" s="96" t="s">
        <v>466</v>
      </c>
      <c r="B4" s="97">
        <v>233065038</v>
      </c>
      <c r="C4" s="97">
        <v>249460229</v>
      </c>
      <c r="D4" s="98">
        <v>190584779</v>
      </c>
      <c r="E4" s="97">
        <v>243515934</v>
      </c>
      <c r="F4" s="98">
        <v>168664639</v>
      </c>
      <c r="G4" s="97">
        <v>163312312</v>
      </c>
      <c r="H4" s="99">
        <v>84449031</v>
      </c>
      <c r="I4" s="100">
        <v>30547681</v>
      </c>
      <c r="J4" s="101">
        <v>21757203</v>
      </c>
      <c r="K4" s="101">
        <v>19453085</v>
      </c>
      <c r="L4" s="102"/>
      <c r="M4" s="103">
        <f t="shared" ref="M4:W4" si="0">IFERROR(B4/B4,"")</f>
        <v>1</v>
      </c>
      <c r="N4" s="10">
        <f t="shared" si="0"/>
        <v>1</v>
      </c>
      <c r="O4" s="10">
        <f t="shared" si="0"/>
        <v>1</v>
      </c>
      <c r="P4" s="10">
        <f t="shared" si="0"/>
        <v>1</v>
      </c>
      <c r="Q4" s="10">
        <f t="shared" si="0"/>
        <v>1</v>
      </c>
      <c r="R4" s="10">
        <f t="shared" si="0"/>
        <v>1</v>
      </c>
      <c r="S4" s="10">
        <f t="shared" si="0"/>
        <v>1</v>
      </c>
      <c r="T4" s="10">
        <f t="shared" si="0"/>
        <v>1</v>
      </c>
      <c r="U4" s="10">
        <f t="shared" si="0"/>
        <v>1</v>
      </c>
      <c r="V4" s="10">
        <f t="shared" si="0"/>
        <v>1</v>
      </c>
      <c r="W4" s="10" t="str">
        <f t="shared" si="0"/>
        <v/>
      </c>
    </row>
    <row r="5" spans="1:23" ht="15" customHeight="1" x14ac:dyDescent="0.2">
      <c r="A5" s="96" t="s">
        <v>467</v>
      </c>
      <c r="B5" s="97">
        <v>-173558695</v>
      </c>
      <c r="C5" s="97">
        <v>-193537409</v>
      </c>
      <c r="D5" s="105">
        <v>-147860380</v>
      </c>
      <c r="E5" s="97">
        <v>-206620691</v>
      </c>
      <c r="F5" s="105">
        <v>-143110160</v>
      </c>
      <c r="G5" s="97">
        <v>-140112627</v>
      </c>
      <c r="H5" s="118">
        <v>-68620850</v>
      </c>
      <c r="I5" s="101">
        <v>-22265854</v>
      </c>
      <c r="J5" s="101">
        <v>-16117831</v>
      </c>
      <c r="K5" s="101">
        <v>-14108614</v>
      </c>
      <c r="L5" s="102"/>
      <c r="M5" s="103">
        <f t="shared" ref="M5:W5" si="1">IFERROR(B5/B4,"")</f>
        <v>-0.74467923841927763</v>
      </c>
      <c r="N5" s="10">
        <f t="shared" si="1"/>
        <v>-0.77582470671106452</v>
      </c>
      <c r="O5" s="10">
        <f t="shared" si="1"/>
        <v>-0.77582470528771874</v>
      </c>
      <c r="P5" s="10">
        <f t="shared" si="1"/>
        <v>-0.84848940932136296</v>
      </c>
      <c r="Q5" s="10">
        <f t="shared" si="1"/>
        <v>-0.8484894098045056</v>
      </c>
      <c r="R5" s="10">
        <f t="shared" si="1"/>
        <v>-0.85794282919710307</v>
      </c>
      <c r="S5" s="10">
        <f t="shared" si="1"/>
        <v>-0.81257119457060434</v>
      </c>
      <c r="T5" s="10">
        <f t="shared" si="1"/>
        <v>-0.72888852021205797</v>
      </c>
      <c r="U5" s="10">
        <f t="shared" si="1"/>
        <v>-0.74080436717899811</v>
      </c>
      <c r="V5" s="10">
        <f t="shared" si="1"/>
        <v>-0.72526357644558692</v>
      </c>
      <c r="W5" s="10" t="str">
        <f t="shared" si="1"/>
        <v/>
      </c>
    </row>
    <row r="6" spans="1:23" ht="15" customHeight="1" x14ac:dyDescent="0.2">
      <c r="A6" s="108" t="s">
        <v>468</v>
      </c>
      <c r="B6" s="109">
        <f t="shared" ref="B6:K6" si="2">B4+B5</f>
        <v>59506343</v>
      </c>
      <c r="C6" s="109">
        <f t="shared" si="2"/>
        <v>55922820</v>
      </c>
      <c r="D6" s="110">
        <f t="shared" si="2"/>
        <v>42724399</v>
      </c>
      <c r="E6" s="109">
        <f t="shared" si="2"/>
        <v>36895243</v>
      </c>
      <c r="F6" s="110">
        <f t="shared" si="2"/>
        <v>25554479</v>
      </c>
      <c r="G6" s="109">
        <f t="shared" si="2"/>
        <v>23199685</v>
      </c>
      <c r="H6" s="122">
        <f t="shared" si="2"/>
        <v>15828181</v>
      </c>
      <c r="I6" s="112">
        <f t="shared" si="2"/>
        <v>8281827</v>
      </c>
      <c r="J6" s="112">
        <f t="shared" si="2"/>
        <v>5639372</v>
      </c>
      <c r="K6" s="112">
        <f t="shared" si="2"/>
        <v>5344471</v>
      </c>
      <c r="L6" s="113"/>
      <c r="M6" s="114">
        <f t="shared" ref="M6:W6" si="3">IFERROR(B6/B4,"")</f>
        <v>0.25532076158072237</v>
      </c>
      <c r="N6" s="59">
        <f t="shared" si="3"/>
        <v>0.22417529328893546</v>
      </c>
      <c r="O6" s="59">
        <f t="shared" si="3"/>
        <v>0.22417529471228129</v>
      </c>
      <c r="P6" s="59">
        <f t="shared" si="3"/>
        <v>0.15151059067863706</v>
      </c>
      <c r="Q6" s="59">
        <f t="shared" si="3"/>
        <v>0.1515105901954944</v>
      </c>
      <c r="R6" s="59">
        <f t="shared" si="3"/>
        <v>0.14205717080289695</v>
      </c>
      <c r="S6" s="59">
        <f t="shared" si="3"/>
        <v>0.18742880542939563</v>
      </c>
      <c r="T6" s="59">
        <f t="shared" si="3"/>
        <v>0.27111147978794198</v>
      </c>
      <c r="U6" s="59">
        <f t="shared" si="3"/>
        <v>0.25919563282100183</v>
      </c>
      <c r="V6" s="59">
        <f t="shared" si="3"/>
        <v>0.27473642355441308</v>
      </c>
      <c r="W6" s="59" t="str">
        <f t="shared" si="3"/>
        <v/>
      </c>
    </row>
    <row r="7" spans="1:23" ht="15.75" customHeight="1" x14ac:dyDescent="0.2">
      <c r="A7" s="96" t="s">
        <v>469</v>
      </c>
      <c r="B7" s="97">
        <v>-22594247</v>
      </c>
      <c r="C7" s="97">
        <v>-21229434</v>
      </c>
      <c r="D7" s="105">
        <v>-16219046</v>
      </c>
      <c r="E7" s="97">
        <v>-16605300</v>
      </c>
      <c r="F7" s="105">
        <v>-11501206</v>
      </c>
      <c r="G7" s="97">
        <v>-9178811</v>
      </c>
      <c r="H7" s="131">
        <v>-7734051</v>
      </c>
      <c r="I7" s="101">
        <v>-3382729</v>
      </c>
      <c r="J7" s="101">
        <v>-2543194</v>
      </c>
      <c r="K7" s="101">
        <v>-2170485</v>
      </c>
      <c r="L7" s="102"/>
      <c r="M7" s="103">
        <f t="shared" ref="M7:W7" si="4">IFERROR(B7/B4,"")</f>
        <v>-9.6943956905282375E-2</v>
      </c>
      <c r="N7" s="10">
        <f t="shared" si="4"/>
        <v>-8.5101477237880668E-2</v>
      </c>
      <c r="O7" s="10">
        <f t="shared" si="4"/>
        <v>-8.5101476020810668E-2</v>
      </c>
      <c r="P7" s="10">
        <f t="shared" si="4"/>
        <v>-6.8189788352822939E-2</v>
      </c>
      <c r="Q7" s="10">
        <f t="shared" si="4"/>
        <v>-6.818978813929101E-2</v>
      </c>
      <c r="R7" s="10">
        <f t="shared" si="4"/>
        <v>-5.620403561490208E-2</v>
      </c>
      <c r="S7" s="10">
        <f t="shared" si="4"/>
        <v>-9.158247179887713E-2</v>
      </c>
      <c r="T7" s="10">
        <f t="shared" si="4"/>
        <v>-0.11073603263043109</v>
      </c>
      <c r="U7" s="10">
        <f t="shared" si="4"/>
        <v>-0.1168897491097546</v>
      </c>
      <c r="V7" s="10">
        <f t="shared" si="4"/>
        <v>-0.11157536195415792</v>
      </c>
      <c r="W7" s="10" t="str">
        <f t="shared" si="4"/>
        <v/>
      </c>
    </row>
    <row r="8" spans="1:23" ht="15" customHeight="1" x14ac:dyDescent="0.2">
      <c r="A8" s="96" t="s">
        <v>651</v>
      </c>
      <c r="B8" s="97">
        <v>8408266</v>
      </c>
      <c r="C8" s="97">
        <v>9919556</v>
      </c>
      <c r="D8" s="105">
        <v>7710069</v>
      </c>
      <c r="E8" s="97">
        <v>10539249</v>
      </c>
      <c r="F8" s="105">
        <v>7299722</v>
      </c>
      <c r="G8" s="97">
        <v>8609695</v>
      </c>
      <c r="H8" s="106">
        <v>4483924</v>
      </c>
      <c r="I8" s="101">
        <v>831971</v>
      </c>
      <c r="J8" s="101">
        <v>646102</v>
      </c>
      <c r="K8" s="101">
        <v>552300</v>
      </c>
      <c r="L8" s="102"/>
      <c r="M8" s="103">
        <f t="shared" ref="M8:W8" si="5">IFERROR(B8/B4,"")</f>
        <v>3.6076908283429451E-2</v>
      </c>
      <c r="N8" s="10">
        <f t="shared" si="5"/>
        <v>3.9764077984551199E-2</v>
      </c>
      <c r="O8" s="10">
        <f t="shared" si="5"/>
        <v>4.0454799383533142E-2</v>
      </c>
      <c r="P8" s="10">
        <f t="shared" si="5"/>
        <v>4.3279504658615069E-2</v>
      </c>
      <c r="Q8" s="10">
        <f t="shared" si="5"/>
        <v>4.3279504484635932E-2</v>
      </c>
      <c r="R8" s="10">
        <f t="shared" si="5"/>
        <v>5.2719203436419414E-2</v>
      </c>
      <c r="S8" s="10">
        <f t="shared" si="5"/>
        <v>5.3096216106967527E-2</v>
      </c>
      <c r="T8" s="10">
        <f t="shared" si="5"/>
        <v>2.723516066571469E-2</v>
      </c>
      <c r="U8" s="10">
        <f t="shared" si="5"/>
        <v>2.9696004582942026E-2</v>
      </c>
      <c r="V8" s="10">
        <f t="shared" si="5"/>
        <v>2.8391383680274877E-2</v>
      </c>
      <c r="W8" s="10" t="str">
        <f t="shared" si="5"/>
        <v/>
      </c>
    </row>
    <row r="9" spans="1:23" ht="15" customHeight="1" x14ac:dyDescent="0.2">
      <c r="A9" s="96" t="s">
        <v>652</v>
      </c>
      <c r="B9" s="97">
        <v>-7472794</v>
      </c>
      <c r="C9" s="97">
        <v>-8488575</v>
      </c>
      <c r="D9" s="105">
        <v>-6616816</v>
      </c>
      <c r="E9" s="97">
        <v>-9322566</v>
      </c>
      <c r="F9" s="105">
        <v>-6457020</v>
      </c>
      <c r="G9" s="97">
        <v>-4857533</v>
      </c>
      <c r="H9" s="118">
        <v>-4230047</v>
      </c>
      <c r="I9" s="101">
        <v>-1216478</v>
      </c>
      <c r="J9" s="101">
        <v>-1004435</v>
      </c>
      <c r="K9" s="101">
        <v>-662080</v>
      </c>
      <c r="L9" s="102"/>
      <c r="M9" s="103">
        <f t="shared" ref="M9:W9" si="6">IFERROR(B9/B4,"")</f>
        <v>-3.2063127374771669E-2</v>
      </c>
      <c r="N9" s="10">
        <f t="shared" si="6"/>
        <v>-3.4027768811195951E-2</v>
      </c>
      <c r="O9" s="10">
        <f t="shared" si="6"/>
        <v>-3.4718491343949352E-2</v>
      </c>
      <c r="P9" s="10">
        <f t="shared" si="6"/>
        <v>-3.8283186840660705E-2</v>
      </c>
      <c r="Q9" s="10">
        <f t="shared" si="6"/>
        <v>-3.8283187503220517E-2</v>
      </c>
      <c r="R9" s="10">
        <f t="shared" si="6"/>
        <v>-2.9743826050298034E-2</v>
      </c>
      <c r="S9" s="10">
        <f t="shared" si="6"/>
        <v>-5.0089941233310301E-2</v>
      </c>
      <c r="T9" s="10">
        <f t="shared" si="6"/>
        <v>-3.9822269978529633E-2</v>
      </c>
      <c r="U9" s="10">
        <f t="shared" si="6"/>
        <v>-4.6165630756857853E-2</v>
      </c>
      <c r="V9" s="10">
        <f t="shared" si="6"/>
        <v>-3.4034704521159496E-2</v>
      </c>
      <c r="W9" s="10" t="str">
        <f t="shared" si="6"/>
        <v/>
      </c>
    </row>
    <row r="10" spans="1:23" ht="15" customHeight="1" x14ac:dyDescent="0.2">
      <c r="A10" s="108" t="s">
        <v>99</v>
      </c>
      <c r="B10" s="109">
        <f t="shared" ref="B10:K10" si="7">B6+B7+B8+B9</f>
        <v>37847568</v>
      </c>
      <c r="C10" s="109">
        <f t="shared" si="7"/>
        <v>36124367</v>
      </c>
      <c r="D10" s="110">
        <f t="shared" si="7"/>
        <v>27598606</v>
      </c>
      <c r="E10" s="109">
        <f t="shared" si="7"/>
        <v>21506626</v>
      </c>
      <c r="F10" s="110">
        <f t="shared" si="7"/>
        <v>14895975</v>
      </c>
      <c r="G10" s="109">
        <f t="shared" si="7"/>
        <v>17773036</v>
      </c>
      <c r="H10" s="122">
        <f t="shared" si="7"/>
        <v>8348007</v>
      </c>
      <c r="I10" s="112">
        <f t="shared" si="7"/>
        <v>4514591</v>
      </c>
      <c r="J10" s="112">
        <f t="shared" si="7"/>
        <v>2737845</v>
      </c>
      <c r="K10" s="112">
        <f t="shared" si="7"/>
        <v>3064206</v>
      </c>
      <c r="L10" s="113"/>
      <c r="M10" s="114">
        <f t="shared" ref="M10:W10" si="8">IFERROR(B10/B4,"")</f>
        <v>0.16239058558409777</v>
      </c>
      <c r="N10" s="59">
        <f t="shared" si="8"/>
        <v>0.14481012522441003</v>
      </c>
      <c r="O10" s="59">
        <f t="shared" si="8"/>
        <v>0.14481012673105442</v>
      </c>
      <c r="P10" s="59">
        <f t="shared" si="8"/>
        <v>8.8317120143768496E-2</v>
      </c>
      <c r="Q10" s="59">
        <f t="shared" si="8"/>
        <v>8.8317119037618783E-2</v>
      </c>
      <c r="R10" s="59">
        <f t="shared" si="8"/>
        <v>0.10882851257411627</v>
      </c>
      <c r="S10" s="59">
        <f t="shared" si="8"/>
        <v>9.8852608504175737E-2</v>
      </c>
      <c r="T10" s="59">
        <f t="shared" si="8"/>
        <v>0.14778833784469597</v>
      </c>
      <c r="U10" s="59">
        <f t="shared" si="8"/>
        <v>0.12583625753733144</v>
      </c>
      <c r="V10" s="59">
        <f t="shared" si="8"/>
        <v>0.15751774075937056</v>
      </c>
      <c r="W10" s="59" t="str">
        <f t="shared" si="8"/>
        <v/>
      </c>
    </row>
    <row r="11" spans="1:23" ht="15.75" customHeight="1" x14ac:dyDescent="0.2">
      <c r="A11" s="96" t="s">
        <v>474</v>
      </c>
      <c r="B11" s="97">
        <v>7194156</v>
      </c>
      <c r="C11" s="97">
        <v>7177775</v>
      </c>
      <c r="D11" s="105">
        <v>4746512</v>
      </c>
      <c r="E11" s="97">
        <v>4805363</v>
      </c>
      <c r="F11" s="105">
        <v>4003338</v>
      </c>
      <c r="G11" s="97">
        <v>3448069</v>
      </c>
      <c r="H11" s="132">
        <f>IFERROR(G11/1.64773,0)</f>
        <v>2092617.7225637697</v>
      </c>
      <c r="I11" s="97">
        <v>1108000</v>
      </c>
      <c r="J11" s="97">
        <v>824000</v>
      </c>
      <c r="K11" s="97">
        <v>614000</v>
      </c>
      <c r="L11" s="102"/>
      <c r="M11" s="103">
        <f t="shared" ref="M11:W11" si="9">IFERROR(B11/B4,"")</f>
        <v>3.086758984417045E-2</v>
      </c>
      <c r="N11" s="10">
        <f t="shared" si="9"/>
        <v>2.8773223807150437E-2</v>
      </c>
      <c r="O11" s="10">
        <f t="shared" si="9"/>
        <v>2.4904989920522456E-2</v>
      </c>
      <c r="P11" s="10">
        <f t="shared" si="9"/>
        <v>1.9733259015403896E-2</v>
      </c>
      <c r="Q11" s="10">
        <f t="shared" si="9"/>
        <v>2.3735490875476276E-2</v>
      </c>
      <c r="R11" s="10">
        <f t="shared" si="9"/>
        <v>2.1113343861055619E-2</v>
      </c>
      <c r="S11" s="10">
        <f t="shared" si="9"/>
        <v>2.4779653452314563E-2</v>
      </c>
      <c r="T11" s="10">
        <f t="shared" si="9"/>
        <v>3.6271165722857983E-2</v>
      </c>
      <c r="U11" s="10">
        <f t="shared" si="9"/>
        <v>3.7872515139009369E-2</v>
      </c>
      <c r="V11" s="10">
        <f t="shared" si="9"/>
        <v>3.1563117109702651E-2</v>
      </c>
      <c r="W11" s="10" t="str">
        <f t="shared" si="9"/>
        <v/>
      </c>
    </row>
    <row r="12" spans="1:23" ht="15" customHeight="1" x14ac:dyDescent="0.2">
      <c r="A12" s="133" t="s">
        <v>331</v>
      </c>
      <c r="B12" s="134">
        <f t="shared" ref="B12:K12" si="10">B10+B11</f>
        <v>45041724</v>
      </c>
      <c r="C12" s="134">
        <f t="shared" si="10"/>
        <v>43302142</v>
      </c>
      <c r="D12" s="135">
        <f t="shared" si="10"/>
        <v>32345118</v>
      </c>
      <c r="E12" s="134">
        <f t="shared" si="10"/>
        <v>26311989</v>
      </c>
      <c r="F12" s="135">
        <f t="shared" si="10"/>
        <v>18899313</v>
      </c>
      <c r="G12" s="134">
        <f t="shared" si="10"/>
        <v>21221105</v>
      </c>
      <c r="H12" s="121">
        <f t="shared" si="10"/>
        <v>10440624.72256377</v>
      </c>
      <c r="I12" s="134">
        <f t="shared" si="10"/>
        <v>5622591</v>
      </c>
      <c r="J12" s="134">
        <f t="shared" si="10"/>
        <v>3561845</v>
      </c>
      <c r="K12" s="134">
        <f t="shared" si="10"/>
        <v>3678206</v>
      </c>
      <c r="L12" s="113"/>
      <c r="M12" s="136">
        <f t="shared" ref="M12:W12" si="11">IFERROR(B12/B4,"")</f>
        <v>0.19325817542826823</v>
      </c>
      <c r="N12" s="37">
        <f t="shared" si="11"/>
        <v>0.17358334903156045</v>
      </c>
      <c r="O12" s="37">
        <f t="shared" si="11"/>
        <v>0.16971511665157687</v>
      </c>
      <c r="P12" s="37">
        <f t="shared" si="11"/>
        <v>0.1080503791591724</v>
      </c>
      <c r="Q12" s="37">
        <f t="shared" si="11"/>
        <v>0.11205260991309506</v>
      </c>
      <c r="R12" s="37">
        <f t="shared" si="11"/>
        <v>0.12994185643517189</v>
      </c>
      <c r="S12" s="37">
        <f t="shared" si="11"/>
        <v>0.1236322619564903</v>
      </c>
      <c r="T12" s="37">
        <f t="shared" si="11"/>
        <v>0.18405950356755396</v>
      </c>
      <c r="U12" s="37">
        <f t="shared" si="11"/>
        <v>0.16370877267634079</v>
      </c>
      <c r="V12" s="37">
        <f t="shared" si="11"/>
        <v>0.18908085786907322</v>
      </c>
      <c r="W12" s="37" t="str">
        <f t="shared" si="11"/>
        <v/>
      </c>
    </row>
    <row r="13" spans="1:23" ht="15.75" customHeight="1" x14ac:dyDescent="0.2">
      <c r="A13" s="137"/>
      <c r="B13" s="138"/>
      <c r="C13" s="138"/>
      <c r="D13" s="139"/>
      <c r="E13" s="138"/>
      <c r="F13" s="139"/>
      <c r="G13" s="138"/>
      <c r="H13" s="139"/>
      <c r="I13" s="138"/>
      <c r="J13" s="138"/>
      <c r="K13" s="138"/>
      <c r="L13" s="138"/>
      <c r="M13" s="138"/>
    </row>
    <row r="14" spans="1:23" ht="15" customHeight="1" x14ac:dyDescent="0.2">
      <c r="A14" s="96" t="s">
        <v>479</v>
      </c>
      <c r="B14" s="97">
        <v>2926205</v>
      </c>
      <c r="C14" s="97">
        <v>3711091</v>
      </c>
      <c r="D14" s="105">
        <v>2835231</v>
      </c>
      <c r="E14" s="97">
        <v>2835297</v>
      </c>
      <c r="F14" s="105">
        <v>1963791</v>
      </c>
      <c r="G14" s="97">
        <v>499975</v>
      </c>
      <c r="H14" s="106">
        <v>310657</v>
      </c>
      <c r="I14" s="101">
        <v>108090</v>
      </c>
      <c r="J14" s="101">
        <v>64091</v>
      </c>
      <c r="K14" s="101">
        <v>170627</v>
      </c>
      <c r="L14" s="102"/>
      <c r="M14" s="103">
        <f t="shared" ref="M14:W14" si="12">IFERROR(B14/B4,"")</f>
        <v>1.2555315139115803E-2</v>
      </c>
      <c r="N14" s="10">
        <f t="shared" si="12"/>
        <v>1.4876483577668808E-2</v>
      </c>
      <c r="O14" s="10">
        <f t="shared" si="12"/>
        <v>1.4876481820198243E-2</v>
      </c>
      <c r="P14" s="10">
        <f t="shared" si="12"/>
        <v>1.1643168286474428E-2</v>
      </c>
      <c r="Q14" s="10">
        <f t="shared" si="12"/>
        <v>1.1643169615416542E-2</v>
      </c>
      <c r="R14" s="10">
        <f t="shared" si="12"/>
        <v>3.0614654454221429E-3</v>
      </c>
      <c r="S14" s="10">
        <f t="shared" si="12"/>
        <v>3.678633091716588E-3</v>
      </c>
      <c r="T14" s="10">
        <f t="shared" si="12"/>
        <v>3.5384028005268223E-3</v>
      </c>
      <c r="U14" s="10">
        <f t="shared" si="12"/>
        <v>2.9457370968134092E-3</v>
      </c>
      <c r="V14" s="10">
        <f t="shared" si="12"/>
        <v>8.7712051841648767E-3</v>
      </c>
      <c r="W14" s="10" t="str">
        <f t="shared" si="12"/>
        <v/>
      </c>
    </row>
    <row r="15" spans="1:23" ht="15" customHeight="1" x14ac:dyDescent="0.2">
      <c r="A15" s="96" t="s">
        <v>480</v>
      </c>
      <c r="B15" s="97">
        <v>-30044809</v>
      </c>
      <c r="C15" s="97">
        <v>-30232209</v>
      </c>
      <c r="D15" s="105">
        <v>-23097064</v>
      </c>
      <c r="E15" s="97">
        <v>-13780194</v>
      </c>
      <c r="F15" s="105">
        <v>-9544474</v>
      </c>
      <c r="G15" s="97">
        <v>-8159586</v>
      </c>
      <c r="H15" s="106">
        <v>-4212040</v>
      </c>
      <c r="I15" s="101">
        <v>-1479567</v>
      </c>
      <c r="J15" s="101">
        <v>-1389230</v>
      </c>
      <c r="K15" s="101">
        <v>-1843477</v>
      </c>
      <c r="L15" s="102"/>
      <c r="M15" s="103">
        <f t="shared" ref="M15:W15" si="13">IFERROR(B15/B4,"")</f>
        <v>-0.12891169459745394</v>
      </c>
      <c r="N15" s="10">
        <f t="shared" si="13"/>
        <v>-0.12119049646186286</v>
      </c>
      <c r="O15" s="10">
        <f t="shared" si="13"/>
        <v>-0.12119049654012506</v>
      </c>
      <c r="P15" s="10">
        <f t="shared" si="13"/>
        <v>-5.6588469483890118E-2</v>
      </c>
      <c r="Q15" s="10">
        <f t="shared" si="13"/>
        <v>-5.6588470805667805E-2</v>
      </c>
      <c r="R15" s="10">
        <f t="shared" si="13"/>
        <v>-4.9963079329867058E-2</v>
      </c>
      <c r="S15" s="10">
        <f t="shared" si="13"/>
        <v>-4.9876712025268825E-2</v>
      </c>
      <c r="T15" s="10">
        <f t="shared" si="13"/>
        <v>-4.8434674959451099E-2</v>
      </c>
      <c r="U15" s="10">
        <f t="shared" si="13"/>
        <v>-6.3851497823502398E-2</v>
      </c>
      <c r="V15" s="10">
        <f t="shared" si="13"/>
        <v>-9.476527758964709E-2</v>
      </c>
      <c r="W15" s="10" t="str">
        <f t="shared" si="13"/>
        <v/>
      </c>
    </row>
    <row r="16" spans="1:23" ht="15" customHeight="1" x14ac:dyDescent="0.2">
      <c r="A16" s="96" t="s">
        <v>653</v>
      </c>
      <c r="B16" s="97">
        <v>-4880806</v>
      </c>
      <c r="C16" s="97">
        <v>-6013095</v>
      </c>
      <c r="D16" s="105">
        <v>-4593936</v>
      </c>
      <c r="E16" s="97">
        <v>-2955175</v>
      </c>
      <c r="F16" s="105">
        <v>-2046821</v>
      </c>
      <c r="G16" s="97">
        <v>-5944290</v>
      </c>
      <c r="H16" s="118">
        <v>0</v>
      </c>
      <c r="I16" s="101">
        <v>0</v>
      </c>
      <c r="J16" s="101">
        <v>0</v>
      </c>
      <c r="K16" s="101">
        <v>0</v>
      </c>
      <c r="L16" s="102"/>
      <c r="M16" s="103">
        <f t="shared" ref="M16:W16" si="14">IFERROR(B16/B4,"")</f>
        <v>-2.0941819682109505E-2</v>
      </c>
      <c r="N16" s="10">
        <f t="shared" si="14"/>
        <v>-2.4104423475054215E-2</v>
      </c>
      <c r="O16" s="10">
        <f t="shared" si="14"/>
        <v>-2.4104422315908029E-2</v>
      </c>
      <c r="P16" s="10">
        <f t="shared" si="14"/>
        <v>-1.2135448187961285E-2</v>
      </c>
      <c r="Q16" s="10">
        <f t="shared" si="14"/>
        <v>-1.2135448260734724E-2</v>
      </c>
      <c r="R16" s="10">
        <f t="shared" si="14"/>
        <v>-3.6398296779975782E-2</v>
      </c>
      <c r="S16" s="10">
        <f t="shared" si="14"/>
        <v>0</v>
      </c>
      <c r="T16" s="10">
        <f t="shared" si="14"/>
        <v>0</v>
      </c>
      <c r="U16" s="10">
        <f t="shared" si="14"/>
        <v>0</v>
      </c>
      <c r="V16" s="10">
        <f t="shared" si="14"/>
        <v>0</v>
      </c>
      <c r="W16" s="10" t="str">
        <f t="shared" si="14"/>
        <v/>
      </c>
    </row>
    <row r="17" spans="1:23" ht="15" customHeight="1" x14ac:dyDescent="0.2">
      <c r="A17" s="133" t="s">
        <v>483</v>
      </c>
      <c r="B17" s="134">
        <f t="shared" ref="B17:K17" si="15">B10+B14+B15+B16</f>
        <v>5848158</v>
      </c>
      <c r="C17" s="134">
        <f t="shared" si="15"/>
        <v>3590154</v>
      </c>
      <c r="D17" s="135">
        <f t="shared" si="15"/>
        <v>2742837</v>
      </c>
      <c r="E17" s="134">
        <f t="shared" si="15"/>
        <v>7606554</v>
      </c>
      <c r="F17" s="135">
        <f t="shared" si="15"/>
        <v>5268471</v>
      </c>
      <c r="G17" s="134">
        <f t="shared" si="15"/>
        <v>4169135</v>
      </c>
      <c r="H17" s="122">
        <f t="shared" si="15"/>
        <v>4446624</v>
      </c>
      <c r="I17" s="140">
        <f t="shared" si="15"/>
        <v>3143114</v>
      </c>
      <c r="J17" s="140">
        <f t="shared" si="15"/>
        <v>1412706</v>
      </c>
      <c r="K17" s="140">
        <f t="shared" si="15"/>
        <v>1391356</v>
      </c>
      <c r="L17" s="113"/>
      <c r="M17" s="136">
        <f t="shared" ref="M17:W17" si="16">IFERROR(B17/B4,"")</f>
        <v>2.5092386443650121E-2</v>
      </c>
      <c r="N17" s="37">
        <f t="shared" si="16"/>
        <v>1.4391688865161749E-2</v>
      </c>
      <c r="O17" s="37">
        <f t="shared" si="16"/>
        <v>1.4391689695219576E-2</v>
      </c>
      <c r="P17" s="37">
        <f t="shared" si="16"/>
        <v>3.1236370758391523E-2</v>
      </c>
      <c r="Q17" s="37">
        <f t="shared" si="16"/>
        <v>3.1236369586632798E-2</v>
      </c>
      <c r="R17" s="37">
        <f t="shared" si="16"/>
        <v>2.5528601909695577E-2</v>
      </c>
      <c r="S17" s="37">
        <f t="shared" si="16"/>
        <v>5.2654529570623491E-2</v>
      </c>
      <c r="T17" s="37">
        <f t="shared" si="16"/>
        <v>0.10289206568577169</v>
      </c>
      <c r="U17" s="37">
        <f t="shared" si="16"/>
        <v>6.4930496810642432E-2</v>
      </c>
      <c r="V17" s="37">
        <f t="shared" si="16"/>
        <v>7.1523668353888348E-2</v>
      </c>
      <c r="W17" s="37" t="str">
        <f t="shared" si="16"/>
        <v/>
      </c>
    </row>
    <row r="18" spans="1:23" ht="15.75" customHeight="1" x14ac:dyDescent="0.2">
      <c r="A18" s="141" t="s">
        <v>654</v>
      </c>
      <c r="B18" s="142">
        <v>-3117125</v>
      </c>
      <c r="C18" s="142">
        <v>-2607409</v>
      </c>
      <c r="D18" s="143">
        <v>-1992031</v>
      </c>
      <c r="E18" s="142">
        <v>-540085</v>
      </c>
      <c r="F18" s="143">
        <v>-374075</v>
      </c>
      <c r="G18" s="142">
        <v>-4528512</v>
      </c>
      <c r="H18" s="143">
        <v>-2483504</v>
      </c>
      <c r="I18" s="142">
        <v>-989969</v>
      </c>
      <c r="J18" s="142">
        <v>-537986</v>
      </c>
      <c r="K18" s="142">
        <v>-492099</v>
      </c>
      <c r="L18" s="144"/>
      <c r="M18" s="45">
        <f t="shared" ref="M18:W18" si="17">IFERROR(B18/B4,"")</f>
        <v>-1.3374485623193299E-2</v>
      </c>
      <c r="N18" s="10">
        <f t="shared" si="17"/>
        <v>-1.045220318466075E-2</v>
      </c>
      <c r="O18" s="10">
        <f t="shared" si="17"/>
        <v>-1.0452204055602992E-2</v>
      </c>
      <c r="P18" s="10">
        <f t="shared" si="17"/>
        <v>-2.2178630824215388E-3</v>
      </c>
      <c r="Q18" s="10">
        <f t="shared" si="17"/>
        <v>-2.2178626309454232E-3</v>
      </c>
      <c r="R18" s="10">
        <f t="shared" si="17"/>
        <v>-2.772915247198264E-2</v>
      </c>
      <c r="S18" s="10">
        <f t="shared" si="17"/>
        <v>-2.9408318492132848E-2</v>
      </c>
      <c r="T18" s="10">
        <f t="shared" si="17"/>
        <v>-3.2407337237808656E-2</v>
      </c>
      <c r="U18" s="10">
        <f t="shared" si="17"/>
        <v>-2.4726799671814435E-2</v>
      </c>
      <c r="V18" s="10">
        <f t="shared" si="17"/>
        <v>-2.5296707437406456E-2</v>
      </c>
      <c r="W18" s="10" t="str">
        <f t="shared" si="17"/>
        <v/>
      </c>
    </row>
    <row r="19" spans="1:23" ht="15.75" customHeight="1" x14ac:dyDescent="0.2">
      <c r="A19" s="141" t="s">
        <v>655</v>
      </c>
      <c r="B19" s="145">
        <v>440249</v>
      </c>
      <c r="C19" s="145">
        <v>-7334650</v>
      </c>
      <c r="D19" s="146">
        <v>-5603589</v>
      </c>
      <c r="E19" s="147">
        <v>-544409</v>
      </c>
      <c r="F19" s="146">
        <v>-377070</v>
      </c>
      <c r="G19" s="145">
        <v>20993937</v>
      </c>
      <c r="H19" s="146">
        <v>12534973</v>
      </c>
      <c r="I19" s="145">
        <v>129223</v>
      </c>
      <c r="J19" s="145">
        <v>212963</v>
      </c>
      <c r="K19" s="145">
        <v>134365</v>
      </c>
      <c r="L19" s="148"/>
      <c r="M19" s="149">
        <f t="shared" ref="M19:W19" si="18">IFERROR(B19/B4,"")</f>
        <v>1.8889534173718496E-3</v>
      </c>
      <c r="N19" s="10">
        <f t="shared" si="18"/>
        <v>-2.9402081563871248E-2</v>
      </c>
      <c r="O19" s="10">
        <f t="shared" si="18"/>
        <v>-2.9402080425320849E-2</v>
      </c>
      <c r="P19" s="10">
        <f t="shared" si="18"/>
        <v>-2.2356196206856837E-3</v>
      </c>
      <c r="Q19" s="10">
        <f t="shared" si="18"/>
        <v>-2.2356197614130605E-3</v>
      </c>
      <c r="R19" s="10">
        <f t="shared" si="18"/>
        <v>0.12855085292038484</v>
      </c>
      <c r="S19" s="10">
        <f t="shared" si="18"/>
        <v>0.14843240770873972</v>
      </c>
      <c r="T19" s="10">
        <f t="shared" si="18"/>
        <v>4.2302065417011521E-3</v>
      </c>
      <c r="U19" s="10">
        <f t="shared" si="18"/>
        <v>9.788160730035014E-3</v>
      </c>
      <c r="V19" s="10">
        <f t="shared" si="18"/>
        <v>6.907130668477519E-3</v>
      </c>
      <c r="W19" s="10" t="str">
        <f t="shared" si="18"/>
        <v/>
      </c>
    </row>
    <row r="20" spans="1:23" ht="15.75" customHeight="1" x14ac:dyDescent="0.2">
      <c r="A20" s="133" t="s">
        <v>486</v>
      </c>
      <c r="B20" s="150">
        <f t="shared" ref="B20:K20" si="19">B18+B19</f>
        <v>-2676876</v>
      </c>
      <c r="C20" s="150">
        <f t="shared" si="19"/>
        <v>-9942059</v>
      </c>
      <c r="D20" s="121">
        <f t="shared" si="19"/>
        <v>-7595620</v>
      </c>
      <c r="E20" s="120">
        <f t="shared" si="19"/>
        <v>-1084494</v>
      </c>
      <c r="F20" s="151">
        <f t="shared" si="19"/>
        <v>-751145</v>
      </c>
      <c r="G20" s="150">
        <f t="shared" si="19"/>
        <v>16465425</v>
      </c>
      <c r="H20" s="122">
        <f t="shared" si="19"/>
        <v>10051469</v>
      </c>
      <c r="I20" s="152">
        <f t="shared" si="19"/>
        <v>-860746</v>
      </c>
      <c r="J20" s="152">
        <f t="shared" si="19"/>
        <v>-325023</v>
      </c>
      <c r="K20" s="152">
        <f t="shared" si="19"/>
        <v>-357734</v>
      </c>
      <c r="L20" s="153"/>
      <c r="M20" s="154">
        <f t="shared" ref="M20:W20" si="20">IFERROR(B20/B4,"")</f>
        <v>-1.148553220582145E-2</v>
      </c>
      <c r="N20" s="37">
        <f t="shared" si="20"/>
        <v>-3.9854284748531997E-2</v>
      </c>
      <c r="O20" s="37">
        <f t="shared" si="20"/>
        <v>-3.9854284480923839E-2</v>
      </c>
      <c r="P20" s="37">
        <f t="shared" si="20"/>
        <v>-4.4534827031072225E-3</v>
      </c>
      <c r="Q20" s="37">
        <f t="shared" si="20"/>
        <v>-4.4534823923584833E-3</v>
      </c>
      <c r="R20" s="37">
        <f t="shared" si="20"/>
        <v>0.1008217004484022</v>
      </c>
      <c r="S20" s="37">
        <f t="shared" si="20"/>
        <v>0.11902408921660688</v>
      </c>
      <c r="T20" s="37">
        <f t="shared" si="20"/>
        <v>-2.8177130696107503E-2</v>
      </c>
      <c r="U20" s="37">
        <f t="shared" si="20"/>
        <v>-1.4938638941779419E-2</v>
      </c>
      <c r="V20" s="37">
        <f t="shared" si="20"/>
        <v>-1.8389576768928939E-2</v>
      </c>
      <c r="W20" s="37" t="str">
        <f t="shared" si="20"/>
        <v/>
      </c>
    </row>
    <row r="21" spans="1:23" ht="15" customHeight="1" x14ac:dyDescent="0.2">
      <c r="A21" s="133" t="s">
        <v>487</v>
      </c>
      <c r="B21" s="134">
        <f t="shared" ref="B21:K21" si="21">B17+B20</f>
        <v>3171282</v>
      </c>
      <c r="C21" s="134">
        <f t="shared" si="21"/>
        <v>-6351905</v>
      </c>
      <c r="D21" s="151">
        <f t="shared" si="21"/>
        <v>-4852783</v>
      </c>
      <c r="E21" s="150">
        <f t="shared" si="21"/>
        <v>6522060</v>
      </c>
      <c r="F21" s="135">
        <f t="shared" si="21"/>
        <v>4517326</v>
      </c>
      <c r="G21" s="134">
        <f t="shared" si="21"/>
        <v>20634560</v>
      </c>
      <c r="H21" s="122">
        <f t="shared" si="21"/>
        <v>14498093</v>
      </c>
      <c r="I21" s="155">
        <f t="shared" si="21"/>
        <v>2282368</v>
      </c>
      <c r="J21" s="140">
        <f t="shared" si="21"/>
        <v>1087683</v>
      </c>
      <c r="K21" s="140">
        <f t="shared" si="21"/>
        <v>1033622</v>
      </c>
      <c r="L21" s="113"/>
      <c r="M21" s="136">
        <f t="shared" ref="M21:W21" si="22">IFERROR(B21/B4,"")</f>
        <v>1.360685423782867E-2</v>
      </c>
      <c r="N21" s="37">
        <f t="shared" si="22"/>
        <v>-2.546259588337025E-2</v>
      </c>
      <c r="O21" s="37">
        <f t="shared" si="22"/>
        <v>-2.5462594785704267E-2</v>
      </c>
      <c r="P21" s="37">
        <f t="shared" si="22"/>
        <v>2.6782888055284299E-2</v>
      </c>
      <c r="Q21" s="37">
        <f t="shared" si="22"/>
        <v>2.6782887194274314E-2</v>
      </c>
      <c r="R21" s="37">
        <f t="shared" si="22"/>
        <v>0.12635030235809777</v>
      </c>
      <c r="S21" s="37">
        <f t="shared" si="22"/>
        <v>0.17167861878723037</v>
      </c>
      <c r="T21" s="37">
        <f t="shared" si="22"/>
        <v>7.4714934989664195E-2</v>
      </c>
      <c r="U21" s="37">
        <f t="shared" si="22"/>
        <v>4.9991857868863017E-2</v>
      </c>
      <c r="V21" s="37">
        <f t="shared" si="22"/>
        <v>5.3134091584959402E-2</v>
      </c>
      <c r="W21" s="37" t="str">
        <f t="shared" si="22"/>
        <v/>
      </c>
    </row>
    <row r="22" spans="1:23" ht="15" customHeight="1" x14ac:dyDescent="0.2">
      <c r="A22" s="96"/>
      <c r="B22" s="125"/>
      <c r="C22" s="125"/>
      <c r="D22" s="156"/>
      <c r="E22" s="125"/>
      <c r="F22" s="156"/>
      <c r="G22" s="125"/>
      <c r="H22" s="157"/>
      <c r="I22" s="125"/>
      <c r="J22" s="125"/>
      <c r="K22" s="125"/>
      <c r="L22" s="126"/>
      <c r="M22" s="125"/>
      <c r="Q22" s="158"/>
      <c r="R22" s="158"/>
      <c r="S22" s="158"/>
      <c r="T22" s="158"/>
    </row>
    <row r="23" spans="1:23" ht="15" customHeight="1" x14ac:dyDescent="0.2">
      <c r="A23" s="96"/>
      <c r="B23" s="125"/>
      <c r="C23" s="159"/>
      <c r="D23" s="159"/>
      <c r="E23" s="159"/>
      <c r="F23" s="159"/>
      <c r="G23" s="159"/>
      <c r="H23" s="159"/>
      <c r="I23" s="125"/>
      <c r="J23" s="159"/>
      <c r="K23" s="125"/>
      <c r="L23" s="126"/>
      <c r="M23" s="125"/>
    </row>
    <row r="24" spans="1:23" ht="13.5" customHeight="1" x14ac:dyDescent="0.2"/>
    <row r="25" spans="1:23" ht="15" customHeight="1" x14ac:dyDescent="0.2"/>
    <row r="26" spans="1:23" ht="15" customHeight="1" x14ac:dyDescent="0.2"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23" ht="15" customHeight="1" x14ac:dyDescent="0.2">
      <c r="F27" s="161"/>
      <c r="G27" s="161"/>
      <c r="H27" s="161"/>
      <c r="I27" s="161"/>
      <c r="J27" s="162"/>
      <c r="K27" s="162"/>
      <c r="L27" s="161"/>
      <c r="M27" s="161"/>
      <c r="N27" s="162"/>
      <c r="O27" s="162"/>
      <c r="P27" s="162"/>
      <c r="Q27" s="162"/>
    </row>
    <row r="28" spans="1:23" ht="15" customHeight="1" x14ac:dyDescent="0.2">
      <c r="F28" s="161"/>
      <c r="G28" s="162"/>
      <c r="H28" s="161"/>
      <c r="I28" s="161"/>
      <c r="J28" s="162"/>
      <c r="K28" s="161"/>
      <c r="L28" s="161"/>
      <c r="M28" s="161"/>
      <c r="N28" s="162"/>
      <c r="O28" s="162"/>
      <c r="P28" s="162"/>
      <c r="Q28" s="161"/>
    </row>
    <row r="29" spans="1:23" ht="27.75" customHeight="1" x14ac:dyDescent="0.2"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</row>
    <row r="30" spans="1:23" ht="30" customHeight="1" x14ac:dyDescent="0.2"/>
    <row r="31" spans="1:23" ht="15" customHeight="1" x14ac:dyDescent="0.2">
      <c r="B31" s="162"/>
      <c r="C31" s="161"/>
      <c r="D31" s="161"/>
      <c r="E31" s="162"/>
      <c r="F31" s="161"/>
      <c r="G31" s="161"/>
      <c r="H31" s="161"/>
      <c r="I31" s="162"/>
      <c r="J31" s="162"/>
      <c r="K31" s="162"/>
      <c r="L31" s="161"/>
      <c r="M31" s="161"/>
    </row>
    <row r="34" spans="11:23" ht="21.75" customHeight="1" x14ac:dyDescent="0.2">
      <c r="L34" s="91"/>
      <c r="M34" s="254" t="s">
        <v>314</v>
      </c>
      <c r="N34" s="254"/>
      <c r="O34" s="254"/>
      <c r="P34" s="254"/>
      <c r="Q34" s="254"/>
      <c r="R34" s="254"/>
      <c r="S34" s="254"/>
      <c r="T34" s="254"/>
      <c r="U34" s="254"/>
      <c r="V34" s="254"/>
      <c r="W34" s="254"/>
    </row>
    <row r="35" spans="11:23" ht="15" customHeight="1" x14ac:dyDescent="0.2">
      <c r="L35" s="129"/>
      <c r="M35" s="2" t="s">
        <v>315</v>
      </c>
      <c r="N35" s="2" t="s">
        <v>316</v>
      </c>
      <c r="O35" s="2" t="s">
        <v>317</v>
      </c>
      <c r="P35" s="2" t="s">
        <v>318</v>
      </c>
      <c r="Q35" s="2" t="s">
        <v>319</v>
      </c>
      <c r="R35" s="2" t="s">
        <v>638</v>
      </c>
      <c r="S35" s="2" t="s">
        <v>639</v>
      </c>
    </row>
    <row r="36" spans="11:23" ht="15" customHeight="1" x14ac:dyDescent="0.2">
      <c r="K36" s="8" t="s">
        <v>466</v>
      </c>
      <c r="L36" s="10"/>
      <c r="M36" s="10">
        <f t="shared" ref="M36:M44" si="23">IFERROR((B4-C4)/ABS(C4),"-")</f>
        <v>-6.572266475390752E-2</v>
      </c>
      <c r="N36" s="10">
        <f t="shared" ref="N36:N44" si="24">IFERROR((D4-E4)/ABS(E4),"-")</f>
        <v>-0.21736218296088994</v>
      </c>
      <c r="O36" s="10">
        <f t="shared" ref="O36:O44" si="25">IFERROR((F4-G4)/ABS(G4),"-")</f>
        <v>3.2773567004550155E-2</v>
      </c>
      <c r="P36" s="10">
        <f t="shared" ref="P36:P44" si="26">IFERROR((H4-I4)/ABS(I4),"-")</f>
        <v>1.7644989156460027</v>
      </c>
      <c r="Q36" s="10">
        <f t="shared" ref="Q36:Q44" si="27">IFERROR((I4-J4)/ABS(J4),"-")</f>
        <v>0.4040261057453019</v>
      </c>
      <c r="R36" s="10">
        <f t="shared" ref="R36:R44" si="28">IFERROR((J4-K4)/ABS(K4),"-")</f>
        <v>0.11844486362959911</v>
      </c>
      <c r="S36" s="10" t="str">
        <f t="shared" ref="S36:S44" si="29">IFERROR((K4-L4)/ABS(L4),"-")</f>
        <v>-</v>
      </c>
    </row>
    <row r="37" spans="11:23" ht="15" customHeight="1" x14ac:dyDescent="0.2">
      <c r="K37" s="8" t="s">
        <v>467</v>
      </c>
      <c r="L37" s="10"/>
      <c r="M37" s="10">
        <f t="shared" si="23"/>
        <v>0.10322921084471065</v>
      </c>
      <c r="N37" s="10">
        <f t="shared" si="24"/>
        <v>0.28438735111964175</v>
      </c>
      <c r="O37" s="10">
        <f t="shared" si="25"/>
        <v>-2.1393739195254686E-2</v>
      </c>
      <c r="P37" s="10">
        <f t="shared" si="26"/>
        <v>-2.0818871802536747</v>
      </c>
      <c r="Q37" s="10">
        <f t="shared" si="27"/>
        <v>-0.38144232930597177</v>
      </c>
      <c r="R37" s="10">
        <f t="shared" si="28"/>
        <v>-0.14241065777262032</v>
      </c>
      <c r="S37" s="10" t="str">
        <f t="shared" si="29"/>
        <v>-</v>
      </c>
    </row>
    <row r="38" spans="11:23" ht="15" customHeight="1" x14ac:dyDescent="0.2">
      <c r="K38" s="1" t="s">
        <v>468</v>
      </c>
      <c r="L38" s="59"/>
      <c r="M38" s="59">
        <f t="shared" si="23"/>
        <v>6.4079797835659938E-2</v>
      </c>
      <c r="N38" s="59">
        <f t="shared" si="24"/>
        <v>0.15799207502170401</v>
      </c>
      <c r="O38" s="59">
        <f t="shared" si="25"/>
        <v>0.10150111951951071</v>
      </c>
      <c r="P38" s="59">
        <f t="shared" si="26"/>
        <v>0.91119435361303736</v>
      </c>
      <c r="Q38" s="59">
        <f t="shared" si="27"/>
        <v>0.46857256446285156</v>
      </c>
      <c r="R38" s="59">
        <f t="shared" si="28"/>
        <v>5.5178707116195408E-2</v>
      </c>
      <c r="S38" s="59" t="str">
        <f t="shared" si="29"/>
        <v>-</v>
      </c>
    </row>
    <row r="39" spans="11:23" ht="15" customHeight="1" x14ac:dyDescent="0.2">
      <c r="K39" s="8" t="s">
        <v>469</v>
      </c>
      <c r="L39" s="10"/>
      <c r="M39" s="10">
        <f t="shared" si="23"/>
        <v>-6.4288713490901359E-2</v>
      </c>
      <c r="N39" s="10">
        <f t="shared" si="24"/>
        <v>2.3260886584403773E-2</v>
      </c>
      <c r="O39" s="10">
        <f t="shared" si="25"/>
        <v>-0.25301697572811993</v>
      </c>
      <c r="P39" s="10">
        <f t="shared" si="26"/>
        <v>-1.286334790637973</v>
      </c>
      <c r="Q39" s="10">
        <f t="shared" si="27"/>
        <v>-0.33011048311689944</v>
      </c>
      <c r="R39" s="10">
        <f t="shared" si="28"/>
        <v>-0.17171692041179737</v>
      </c>
      <c r="S39" s="10" t="str">
        <f t="shared" si="29"/>
        <v>-</v>
      </c>
    </row>
    <row r="40" spans="11:23" ht="15" customHeight="1" x14ac:dyDescent="0.2">
      <c r="K40" s="8" t="s">
        <v>651</v>
      </c>
      <c r="L40" s="10"/>
      <c r="M40" s="10">
        <f t="shared" si="23"/>
        <v>-0.15235460135514131</v>
      </c>
      <c r="N40" s="10">
        <f t="shared" si="24"/>
        <v>-0.26844227705408613</v>
      </c>
      <c r="O40" s="10">
        <f t="shared" si="25"/>
        <v>-0.15215091823810251</v>
      </c>
      <c r="P40" s="10">
        <f t="shared" si="26"/>
        <v>4.3895195866202066</v>
      </c>
      <c r="Q40" s="10">
        <f t="shared" si="27"/>
        <v>0.28767748745554106</v>
      </c>
      <c r="R40" s="10">
        <f t="shared" si="28"/>
        <v>0.16983885569436899</v>
      </c>
      <c r="S40" s="10" t="str">
        <f t="shared" si="29"/>
        <v>-</v>
      </c>
    </row>
    <row r="41" spans="11:23" ht="15" customHeight="1" x14ac:dyDescent="0.2">
      <c r="K41" s="8" t="s">
        <v>652</v>
      </c>
      <c r="L41" s="10"/>
      <c r="M41" s="10">
        <f t="shared" si="23"/>
        <v>0.11966449021184357</v>
      </c>
      <c r="N41" s="10">
        <f t="shared" si="24"/>
        <v>0.29023661511219123</v>
      </c>
      <c r="O41" s="10">
        <f t="shared" si="25"/>
        <v>-0.32927969815130437</v>
      </c>
      <c r="P41" s="10">
        <f t="shared" si="26"/>
        <v>-2.4772901770521125</v>
      </c>
      <c r="Q41" s="10">
        <f t="shared" si="27"/>
        <v>-0.21110674160099957</v>
      </c>
      <c r="R41" s="10">
        <f t="shared" si="28"/>
        <v>-0.51709007974867083</v>
      </c>
      <c r="S41" s="10" t="str">
        <f t="shared" si="29"/>
        <v>-</v>
      </c>
    </row>
    <row r="42" spans="11:23" ht="15" customHeight="1" x14ac:dyDescent="0.2">
      <c r="K42" s="1" t="s">
        <v>99</v>
      </c>
      <c r="L42" s="59"/>
      <c r="M42" s="59">
        <f t="shared" si="23"/>
        <v>4.7701901600102778E-2</v>
      </c>
      <c r="N42" s="59">
        <f t="shared" si="24"/>
        <v>0.28326061000921299</v>
      </c>
      <c r="O42" s="59">
        <f t="shared" si="25"/>
        <v>-0.16187785812170752</v>
      </c>
      <c r="P42" s="59">
        <f t="shared" si="26"/>
        <v>0.84911700749857522</v>
      </c>
      <c r="Q42" s="59">
        <f t="shared" si="27"/>
        <v>0.64895784823465175</v>
      </c>
      <c r="R42" s="59">
        <f t="shared" si="28"/>
        <v>-0.10650752593004517</v>
      </c>
      <c r="S42" s="59" t="str">
        <f t="shared" si="29"/>
        <v>-</v>
      </c>
    </row>
    <row r="43" spans="11:23" ht="15" customHeight="1" x14ac:dyDescent="0.2">
      <c r="K43" s="8" t="s">
        <v>474</v>
      </c>
      <c r="L43" s="10"/>
      <c r="M43" s="10">
        <f t="shared" si="23"/>
        <v>2.2821835457366665E-3</v>
      </c>
      <c r="N43" s="10">
        <f t="shared" si="24"/>
        <v>-1.2246941594214631E-2</v>
      </c>
      <c r="O43" s="10">
        <f t="shared" si="25"/>
        <v>0.1610376706498623</v>
      </c>
      <c r="P43" s="10">
        <f t="shared" si="26"/>
        <v>0.88864415393842033</v>
      </c>
      <c r="Q43" s="10">
        <f t="shared" si="27"/>
        <v>0.3446601941747573</v>
      </c>
      <c r="R43" s="10">
        <f t="shared" si="28"/>
        <v>0.34201954397394135</v>
      </c>
      <c r="S43" s="10" t="str">
        <f t="shared" si="29"/>
        <v>-</v>
      </c>
    </row>
    <row r="44" spans="11:23" ht="15" customHeight="1" x14ac:dyDescent="0.2">
      <c r="K44" s="39" t="s">
        <v>331</v>
      </c>
      <c r="L44" s="59"/>
      <c r="M44" s="37">
        <f t="shared" si="23"/>
        <v>4.0173116609335396E-2</v>
      </c>
      <c r="N44" s="37">
        <f t="shared" si="24"/>
        <v>0.22929201589435144</v>
      </c>
      <c r="O44" s="37">
        <f t="shared" si="25"/>
        <v>-0.10940957127350343</v>
      </c>
      <c r="P44" s="37">
        <f t="shared" si="26"/>
        <v>0.85690631286603802</v>
      </c>
      <c r="Q44" s="37">
        <f t="shared" si="27"/>
        <v>0.57856139163832232</v>
      </c>
      <c r="R44" s="37">
        <f t="shared" si="28"/>
        <v>-3.1635259145355102E-2</v>
      </c>
      <c r="S44" s="37" t="str">
        <f t="shared" si="29"/>
        <v>-</v>
      </c>
    </row>
    <row r="45" spans="11:23" ht="15" customHeight="1" x14ac:dyDescent="0.2">
      <c r="K45" s="8" t="s">
        <v>479</v>
      </c>
      <c r="L45" s="10"/>
      <c r="M45" s="10">
        <f t="shared" ref="M45:M52" si="30">IFERROR((B14-C14)/ABS(C14),"-")</f>
        <v>-0.21149737368337235</v>
      </c>
      <c r="N45" s="10">
        <f t="shared" ref="N45:N52" si="31">IFERROR((D14-E14)/ABS(E14),"-")</f>
        <v>-2.3277984634413962E-5</v>
      </c>
      <c r="O45" s="10">
        <f t="shared" ref="O45:O52" si="32">IFERROR((F14-G14)/ABS(G14),"-")</f>
        <v>2.927778388919446</v>
      </c>
      <c r="P45" s="10">
        <f t="shared" ref="P45:S52" si="33">IFERROR((H14-I14)/ABS(I14),"-")</f>
        <v>1.8740586548246831</v>
      </c>
      <c r="Q45" s="10">
        <f t="shared" si="33"/>
        <v>0.6865082460875942</v>
      </c>
      <c r="R45" s="10">
        <f t="shared" si="33"/>
        <v>-0.62437949445281227</v>
      </c>
      <c r="S45" s="10" t="str">
        <f t="shared" si="33"/>
        <v>-</v>
      </c>
    </row>
    <row r="46" spans="11:23" ht="15" customHeight="1" x14ac:dyDescent="0.2">
      <c r="K46" s="8" t="s">
        <v>480</v>
      </c>
      <c r="L46" s="10"/>
      <c r="M46" s="10">
        <f t="shared" si="30"/>
        <v>6.1986869699134457E-3</v>
      </c>
      <c r="N46" s="10">
        <f t="shared" si="31"/>
        <v>-0.67610586614382928</v>
      </c>
      <c r="O46" s="10">
        <f t="shared" si="32"/>
        <v>-0.16972527772855142</v>
      </c>
      <c r="P46" s="10">
        <f t="shared" si="33"/>
        <v>-1.846805856037611</v>
      </c>
      <c r="Q46" s="10">
        <f t="shared" si="33"/>
        <v>-6.5026669449983088E-2</v>
      </c>
      <c r="R46" s="10">
        <f t="shared" si="33"/>
        <v>0.24640773928831225</v>
      </c>
      <c r="S46" s="10" t="str">
        <f t="shared" si="33"/>
        <v>-</v>
      </c>
    </row>
    <row r="47" spans="11:23" ht="15" customHeight="1" x14ac:dyDescent="0.2">
      <c r="K47" s="8" t="s">
        <v>653</v>
      </c>
      <c r="L47" s="10"/>
      <c r="M47" s="10">
        <f t="shared" si="30"/>
        <v>0.18830386015853734</v>
      </c>
      <c r="N47" s="10">
        <f t="shared" si="31"/>
        <v>-0.55453940967962978</v>
      </c>
      <c r="O47" s="10">
        <f t="shared" si="32"/>
        <v>0.65566602571543453</v>
      </c>
      <c r="P47" s="10" t="str">
        <f t="shared" si="33"/>
        <v>-</v>
      </c>
      <c r="Q47" s="10" t="str">
        <f t="shared" si="33"/>
        <v>-</v>
      </c>
      <c r="R47" s="10" t="str">
        <f t="shared" si="33"/>
        <v>-</v>
      </c>
      <c r="S47" s="10" t="str">
        <f t="shared" si="33"/>
        <v>-</v>
      </c>
    </row>
    <row r="48" spans="11:23" ht="15" customHeight="1" x14ac:dyDescent="0.2">
      <c r="K48" s="39" t="s">
        <v>483</v>
      </c>
      <c r="L48" s="59"/>
      <c r="M48" s="37">
        <f t="shared" si="30"/>
        <v>0.62894349378884584</v>
      </c>
      <c r="N48" s="37">
        <f t="shared" si="31"/>
        <v>-0.63941135499728263</v>
      </c>
      <c r="O48" s="37">
        <f t="shared" si="32"/>
        <v>0.2636844333416884</v>
      </c>
      <c r="P48" s="37">
        <f t="shared" si="33"/>
        <v>0.41471928794183094</v>
      </c>
      <c r="Q48" s="37">
        <f t="shared" si="33"/>
        <v>1.2248889719446225</v>
      </c>
      <c r="R48" s="37">
        <f t="shared" si="33"/>
        <v>1.5344742826422569E-2</v>
      </c>
      <c r="S48" s="37" t="str">
        <f t="shared" si="33"/>
        <v>-</v>
      </c>
    </row>
    <row r="49" spans="11:19" ht="15" customHeight="1" x14ac:dyDescent="0.2">
      <c r="K49" s="8" t="s">
        <v>654</v>
      </c>
      <c r="L49" s="10"/>
      <c r="M49" s="10">
        <f t="shared" si="30"/>
        <v>-0.19548755105163784</v>
      </c>
      <c r="N49" s="10">
        <f t="shared" si="31"/>
        <v>-2.6883657202107076</v>
      </c>
      <c r="O49" s="10">
        <f t="shared" si="32"/>
        <v>0.91739560367732276</v>
      </c>
      <c r="P49" s="10">
        <f t="shared" si="33"/>
        <v>-1.5086684532545969</v>
      </c>
      <c r="Q49" s="10">
        <f t="shared" si="33"/>
        <v>-0.84013896272393707</v>
      </c>
      <c r="R49" s="10">
        <f t="shared" si="33"/>
        <v>-9.3247496946752578E-2</v>
      </c>
      <c r="S49" s="10" t="str">
        <f t="shared" si="33"/>
        <v>-</v>
      </c>
    </row>
    <row r="50" spans="11:19" ht="15" customHeight="1" x14ac:dyDescent="0.2">
      <c r="K50" s="8" t="s">
        <v>655</v>
      </c>
      <c r="L50" s="10"/>
      <c r="M50" s="10">
        <f t="shared" si="30"/>
        <v>1.0600231776567388</v>
      </c>
      <c r="N50" s="10">
        <f t="shared" si="31"/>
        <v>-9.2929764203016489</v>
      </c>
      <c r="O50" s="10">
        <f t="shared" si="32"/>
        <v>-1.0179608998540866</v>
      </c>
      <c r="P50" s="10">
        <f t="shared" si="33"/>
        <v>96.002646587681753</v>
      </c>
      <c r="Q50" s="10">
        <f t="shared" si="33"/>
        <v>-0.39321384465846182</v>
      </c>
      <c r="R50" s="10">
        <f t="shared" si="33"/>
        <v>0.58495888066088642</v>
      </c>
      <c r="S50" s="10" t="str">
        <f t="shared" si="33"/>
        <v>-</v>
      </c>
    </row>
    <row r="51" spans="11:19" ht="15" customHeight="1" x14ac:dyDescent="0.2">
      <c r="K51" s="39" t="s">
        <v>486</v>
      </c>
      <c r="L51" s="59"/>
      <c r="M51" s="37">
        <f t="shared" si="30"/>
        <v>0.73075235220390466</v>
      </c>
      <c r="N51" s="37">
        <f t="shared" si="31"/>
        <v>-6.0038377344641836</v>
      </c>
      <c r="O51" s="37">
        <f t="shared" si="32"/>
        <v>-1.0456195330518343</v>
      </c>
      <c r="P51" s="37">
        <f t="shared" si="33"/>
        <v>12.677624990415291</v>
      </c>
      <c r="Q51" s="37">
        <f t="shared" si="33"/>
        <v>-1.6482618153176851</v>
      </c>
      <c r="R51" s="37">
        <f t="shared" si="33"/>
        <v>9.1439449423314528E-2</v>
      </c>
      <c r="S51" s="37" t="str">
        <f t="shared" si="33"/>
        <v>-</v>
      </c>
    </row>
    <row r="52" spans="11:19" ht="15" customHeight="1" x14ac:dyDescent="0.2">
      <c r="K52" s="39" t="s">
        <v>487</v>
      </c>
      <c r="L52" s="59"/>
      <c r="M52" s="37">
        <f t="shared" si="30"/>
        <v>1.4992647087763435</v>
      </c>
      <c r="N52" s="37">
        <f t="shared" si="31"/>
        <v>-1.7440567857394749</v>
      </c>
      <c r="O52" s="37">
        <f t="shared" si="32"/>
        <v>-0.78107960625281081</v>
      </c>
      <c r="P52" s="37">
        <f t="shared" si="33"/>
        <v>5.35221533074421</v>
      </c>
      <c r="Q52" s="37">
        <f t="shared" si="33"/>
        <v>1.0983760893569174</v>
      </c>
      <c r="R52" s="37">
        <f t="shared" si="33"/>
        <v>5.2302485821702709E-2</v>
      </c>
      <c r="S52" s="37" t="str">
        <f t="shared" si="33"/>
        <v>-</v>
      </c>
    </row>
  </sheetData>
  <mergeCells count="4">
    <mergeCell ref="A1:K1"/>
    <mergeCell ref="M1:W1"/>
    <mergeCell ref="A3:K3"/>
    <mergeCell ref="M34:W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50" sqref="H50"/>
    </sheetView>
  </sheetViews>
  <sheetFormatPr baseColWidth="10" defaultColWidth="8.6640625" defaultRowHeight="15" x14ac:dyDescent="0.2"/>
  <cols>
    <col min="1" max="1" width="56" customWidth="1"/>
    <col min="2" max="11" width="18" customWidth="1"/>
    <col min="12" max="12" width="3" customWidth="1"/>
    <col min="13" max="23" width="18" customWidth="1"/>
  </cols>
  <sheetData>
    <row r="1" spans="1:23" ht="21.75" customHeight="1" x14ac:dyDescent="0.2">
      <c r="A1" s="259" t="s">
        <v>656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91"/>
      <c r="M1" s="254" t="s">
        <v>344</v>
      </c>
      <c r="N1" s="254"/>
      <c r="O1" s="254"/>
      <c r="P1" s="254"/>
      <c r="Q1" s="254"/>
      <c r="R1" s="254"/>
      <c r="S1" s="254"/>
      <c r="T1" s="254"/>
      <c r="U1" s="254"/>
      <c r="V1" s="254"/>
      <c r="W1" s="254"/>
    </row>
    <row r="2" spans="1:23" ht="27.75" customHeight="1" x14ac:dyDescent="0.2">
      <c r="A2" s="92" t="s">
        <v>2</v>
      </c>
      <c r="B2" s="164" t="s">
        <v>641</v>
      </c>
      <c r="C2" s="164" t="s">
        <v>642</v>
      </c>
      <c r="D2" s="164" t="s">
        <v>643</v>
      </c>
      <c r="E2" s="164" t="s">
        <v>644</v>
      </c>
      <c r="F2" s="164" t="s">
        <v>645</v>
      </c>
      <c r="G2" s="164" t="s">
        <v>646</v>
      </c>
      <c r="H2" s="164" t="s">
        <v>657</v>
      </c>
      <c r="I2" s="164" t="s">
        <v>648</v>
      </c>
      <c r="J2" s="164" t="s">
        <v>649</v>
      </c>
      <c r="K2" s="164" t="s">
        <v>650</v>
      </c>
      <c r="L2" s="94"/>
      <c r="M2" s="95" t="s">
        <v>641</v>
      </c>
      <c r="N2" s="7" t="s">
        <v>642</v>
      </c>
      <c r="O2" s="7" t="s">
        <v>643</v>
      </c>
      <c r="P2" s="7" t="s">
        <v>644</v>
      </c>
      <c r="Q2" s="7" t="s">
        <v>645</v>
      </c>
      <c r="R2" s="7" t="s">
        <v>646</v>
      </c>
      <c r="S2" s="7" t="s">
        <v>657</v>
      </c>
      <c r="T2" s="7" t="s">
        <v>648</v>
      </c>
      <c r="U2" s="7" t="s">
        <v>649</v>
      </c>
      <c r="V2" s="7" t="s">
        <v>650</v>
      </c>
      <c r="W2" s="7" t="s">
        <v>641</v>
      </c>
    </row>
    <row r="3" spans="1:23" ht="15" customHeight="1" x14ac:dyDescent="0.2">
      <c r="A3" s="165" t="s">
        <v>658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7"/>
      <c r="M3" s="166"/>
    </row>
    <row r="4" spans="1:23" ht="13.5" customHeight="1" x14ac:dyDescent="0.2">
      <c r="A4" s="168" t="s">
        <v>659</v>
      </c>
      <c r="B4" s="169">
        <v>3171282</v>
      </c>
      <c r="C4" s="169">
        <v>-6351905</v>
      </c>
      <c r="D4" s="170">
        <v>-4852783</v>
      </c>
      <c r="E4" s="169">
        <v>6522060</v>
      </c>
      <c r="F4" s="170">
        <v>4517326</v>
      </c>
      <c r="G4" s="169">
        <v>20634560</v>
      </c>
      <c r="H4" s="170">
        <f t="shared" ref="H4:H13" si="0">IFERROR(G4/1.64773,0)</f>
        <v>12523022.582583312</v>
      </c>
      <c r="I4" s="169">
        <v>2916000</v>
      </c>
      <c r="J4" s="169">
        <v>1584000</v>
      </c>
      <c r="K4" s="169">
        <v>1156000</v>
      </c>
      <c r="L4" s="144"/>
      <c r="M4" s="45">
        <f t="shared" ref="M4:W4" si="1">IFERROR(B4/B14,"")</f>
        <v>7.8302342831839455E-2</v>
      </c>
      <c r="N4" s="10">
        <f t="shared" si="1"/>
        <v>-0.19708519910836231</v>
      </c>
      <c r="O4" s="10">
        <f t="shared" si="1"/>
        <v>-0.19708518566697353</v>
      </c>
      <c r="P4" s="10">
        <f t="shared" si="1"/>
        <v>0.6981818321955422</v>
      </c>
      <c r="Q4" s="10">
        <f t="shared" si="1"/>
        <v>0.69818185977155323</v>
      </c>
      <c r="R4" s="10">
        <f t="shared" si="1"/>
        <v>1.0643701571995021</v>
      </c>
      <c r="S4" s="10">
        <f t="shared" si="1"/>
        <v>1.0643701571995026</v>
      </c>
      <c r="T4" s="10">
        <f t="shared" si="1"/>
        <v>0.57657959774279766</v>
      </c>
      <c r="U4" s="10">
        <f t="shared" si="1"/>
        <v>0.40925780425436925</v>
      </c>
      <c r="V4" s="10">
        <f t="shared" si="1"/>
        <v>0.31141117211824787</v>
      </c>
      <c r="W4" s="10" t="str">
        <f t="shared" si="1"/>
        <v/>
      </c>
    </row>
    <row r="5" spans="1:23" ht="15" customHeight="1" x14ac:dyDescent="0.2">
      <c r="A5" s="168" t="s">
        <v>660</v>
      </c>
      <c r="B5" s="169">
        <v>7194156</v>
      </c>
      <c r="C5" s="169">
        <v>7177775</v>
      </c>
      <c r="D5" s="171">
        <v>4746512</v>
      </c>
      <c r="E5" s="169">
        <v>4805363</v>
      </c>
      <c r="F5" s="171">
        <v>4003338</v>
      </c>
      <c r="G5" s="169">
        <v>3448069</v>
      </c>
      <c r="H5" s="171">
        <f t="shared" si="0"/>
        <v>2092617.7225637697</v>
      </c>
      <c r="I5" s="169">
        <v>1108000</v>
      </c>
      <c r="J5" s="169">
        <v>824000</v>
      </c>
      <c r="K5" s="169">
        <v>614000</v>
      </c>
      <c r="L5" s="144"/>
      <c r="M5" s="45">
        <f t="shared" ref="M5:W5" si="2">IFERROR(B5/B14,"")</f>
        <v>0.17763140253617773</v>
      </c>
      <c r="N5" s="10">
        <f t="shared" si="2"/>
        <v>0.2227100712353263</v>
      </c>
      <c r="O5" s="10">
        <f t="shared" si="2"/>
        <v>0.19276922104089919</v>
      </c>
      <c r="P5" s="10">
        <f t="shared" si="2"/>
        <v>0.51441065303058653</v>
      </c>
      <c r="Q5" s="10">
        <f t="shared" si="2"/>
        <v>0.61874170031875719</v>
      </c>
      <c r="R5" s="10">
        <f t="shared" si="2"/>
        <v>0.17785800829117415</v>
      </c>
      <c r="S5" s="10">
        <f t="shared" si="2"/>
        <v>0.17785800829117418</v>
      </c>
      <c r="T5" s="10">
        <f t="shared" si="2"/>
        <v>0.21908442877195466</v>
      </c>
      <c r="U5" s="10">
        <f t="shared" si="2"/>
        <v>0.2128967365565658</v>
      </c>
      <c r="V5" s="10">
        <f t="shared" si="2"/>
        <v>0.16540351183443269</v>
      </c>
      <c r="W5" s="10" t="str">
        <f t="shared" si="2"/>
        <v/>
      </c>
    </row>
    <row r="6" spans="1:23" ht="15" customHeight="1" x14ac:dyDescent="0.2">
      <c r="A6" s="168" t="s">
        <v>661</v>
      </c>
      <c r="B6" s="169">
        <v>3727011</v>
      </c>
      <c r="C6" s="169">
        <v>3343462</v>
      </c>
      <c r="D6" s="171">
        <v>2554367</v>
      </c>
      <c r="E6" s="169">
        <v>3986722</v>
      </c>
      <c r="F6" s="171">
        <v>2761295</v>
      </c>
      <c r="G6" s="169">
        <v>2444660</v>
      </c>
      <c r="H6" s="171">
        <f t="shared" si="0"/>
        <v>1483653.2684359695</v>
      </c>
      <c r="I6" s="169">
        <v>864000</v>
      </c>
      <c r="J6" s="169">
        <v>596000</v>
      </c>
      <c r="K6" s="169">
        <v>424000</v>
      </c>
      <c r="L6" s="144"/>
      <c r="M6" s="45">
        <f t="shared" ref="M6:W6" si="3">IFERROR(B6/B14,"")</f>
        <v>9.2023885942668221E-2</v>
      </c>
      <c r="N6" s="10">
        <f t="shared" si="3"/>
        <v>0.10374003924511517</v>
      </c>
      <c r="O6" s="10">
        <f t="shared" si="3"/>
        <v>0.10374003833606205</v>
      </c>
      <c r="P6" s="10">
        <f t="shared" si="3"/>
        <v>0.42677572276462905</v>
      </c>
      <c r="Q6" s="10">
        <f t="shared" si="3"/>
        <v>0.42677594631821814</v>
      </c>
      <c r="R6" s="10">
        <f t="shared" si="3"/>
        <v>0.12610024873316103</v>
      </c>
      <c r="S6" s="10">
        <f t="shared" si="3"/>
        <v>0.12610024873316106</v>
      </c>
      <c r="T6" s="10">
        <f t="shared" si="3"/>
        <v>0.17083839933119929</v>
      </c>
      <c r="U6" s="10">
        <f t="shared" si="3"/>
        <v>0.15398841624722479</v>
      </c>
      <c r="V6" s="10">
        <f t="shared" si="3"/>
        <v>0.11422001468696981</v>
      </c>
      <c r="W6" s="10" t="str">
        <f t="shared" si="3"/>
        <v/>
      </c>
    </row>
    <row r="7" spans="1:23" ht="15" customHeight="1" x14ac:dyDescent="0.2">
      <c r="A7" s="168" t="s">
        <v>662</v>
      </c>
      <c r="B7" s="169">
        <v>2492971</v>
      </c>
      <c r="C7" s="169">
        <v>3321860</v>
      </c>
      <c r="D7" s="171">
        <v>2537863</v>
      </c>
      <c r="E7" s="169">
        <v>2383242</v>
      </c>
      <c r="F7" s="171">
        <v>1650686</v>
      </c>
      <c r="G7" s="169">
        <v>2104323</v>
      </c>
      <c r="H7" s="171">
        <f t="shared" si="0"/>
        <v>1277104.2585860549</v>
      </c>
      <c r="I7" s="169">
        <v>386000</v>
      </c>
      <c r="J7" s="169">
        <v>264000</v>
      </c>
      <c r="K7" s="169">
        <v>182000</v>
      </c>
      <c r="L7" s="144"/>
      <c r="M7" s="45">
        <f t="shared" ref="M7:W7" si="4">IFERROR(B7/B14,"")</f>
        <v>6.1554119095001206E-2</v>
      </c>
      <c r="N7" s="10">
        <f t="shared" si="4"/>
        <v>0.10306977820198891</v>
      </c>
      <c r="O7" s="10">
        <f t="shared" si="4"/>
        <v>0.10306976441195545</v>
      </c>
      <c r="P7" s="10">
        <f t="shared" si="4"/>
        <v>0.25512434202159567</v>
      </c>
      <c r="Q7" s="10">
        <f t="shared" si="4"/>
        <v>0.25512416446784358</v>
      </c>
      <c r="R7" s="10">
        <f t="shared" si="4"/>
        <v>0.10854501391396415</v>
      </c>
      <c r="S7" s="10">
        <f t="shared" si="4"/>
        <v>0.10854501391396419</v>
      </c>
      <c r="T7" s="10">
        <f t="shared" si="4"/>
        <v>7.6323636738244133E-2</v>
      </c>
      <c r="U7" s="10">
        <f t="shared" si="4"/>
        <v>6.820963404239487E-2</v>
      </c>
      <c r="V7" s="10">
        <f t="shared" si="4"/>
        <v>4.9028402530727606E-2</v>
      </c>
      <c r="W7" s="10" t="str">
        <f t="shared" si="4"/>
        <v/>
      </c>
    </row>
    <row r="8" spans="1:23" ht="15" customHeight="1" x14ac:dyDescent="0.2">
      <c r="A8" s="168" t="s">
        <v>663</v>
      </c>
      <c r="B8" s="169">
        <v>29671139</v>
      </c>
      <c r="C8" s="169">
        <v>29607311</v>
      </c>
      <c r="D8" s="171">
        <v>22619649</v>
      </c>
      <c r="E8" s="169">
        <v>13555861</v>
      </c>
      <c r="F8" s="171">
        <v>9352799</v>
      </c>
      <c r="G8" s="169">
        <v>7645796</v>
      </c>
      <c r="H8" s="171">
        <f t="shared" si="0"/>
        <v>4640199.5472559221</v>
      </c>
      <c r="I8" s="169">
        <v>1316000</v>
      </c>
      <c r="J8" s="169">
        <v>966000</v>
      </c>
      <c r="K8" s="169">
        <v>648000</v>
      </c>
      <c r="L8" s="144"/>
      <c r="M8" s="45">
        <f t="shared" ref="M8:W8" si="5">IFERROR(B8/B14,"")</f>
        <v>0.73261214177394562</v>
      </c>
      <c r="N8" s="10">
        <f t="shared" si="5"/>
        <v>0.91864767868823693</v>
      </c>
      <c r="O8" s="10">
        <f t="shared" si="5"/>
        <v>0.91864765494083955</v>
      </c>
      <c r="P8" s="10">
        <f t="shared" si="5"/>
        <v>1.4511451703860583</v>
      </c>
      <c r="Q8" s="10">
        <f t="shared" si="5"/>
        <v>1.4455353897171741</v>
      </c>
      <c r="R8" s="10">
        <f t="shared" si="5"/>
        <v>0.39438481316952362</v>
      </c>
      <c r="S8" s="10">
        <f t="shared" si="5"/>
        <v>0.39438481316952373</v>
      </c>
      <c r="T8" s="10">
        <f t="shared" si="5"/>
        <v>0.26021219157391007</v>
      </c>
      <c r="U8" s="10">
        <f t="shared" si="5"/>
        <v>0.24958525183694488</v>
      </c>
      <c r="V8" s="10">
        <f t="shared" si="5"/>
        <v>0.17456266395555764</v>
      </c>
      <c r="W8" s="10" t="str">
        <f t="shared" si="5"/>
        <v/>
      </c>
    </row>
    <row r="9" spans="1:23" ht="15" customHeight="1" x14ac:dyDescent="0.2">
      <c r="A9" s="168" t="s">
        <v>664</v>
      </c>
      <c r="B9" s="169">
        <v>-2926205</v>
      </c>
      <c r="C9" s="169">
        <v>-3711091</v>
      </c>
      <c r="D9" s="171">
        <v>-2835231</v>
      </c>
      <c r="E9" s="169">
        <v>-2835297</v>
      </c>
      <c r="F9" s="171">
        <v>-1963791</v>
      </c>
      <c r="G9" s="169">
        <v>-499975</v>
      </c>
      <c r="H9" s="171">
        <f t="shared" si="0"/>
        <v>-303432.60121500492</v>
      </c>
      <c r="I9" s="169">
        <v>-84000</v>
      </c>
      <c r="J9" s="169">
        <v>-62000</v>
      </c>
      <c r="K9" s="169">
        <v>-48000</v>
      </c>
      <c r="L9" s="144"/>
      <c r="M9" s="45">
        <f t="shared" ref="M9:W9" si="6">IFERROR(B9/B14,"")</f>
        <v>-7.2251129702827682E-2</v>
      </c>
      <c r="N9" s="10">
        <f t="shared" si="6"/>
        <v>-0.11514673293197102</v>
      </c>
      <c r="O9" s="10">
        <f t="shared" si="6"/>
        <v>-0.1151467164395686</v>
      </c>
      <c r="P9" s="10">
        <f t="shared" si="6"/>
        <v>-0.30351650464401192</v>
      </c>
      <c r="Q9" s="10">
        <f t="shared" si="6"/>
        <v>-0.30351656103248653</v>
      </c>
      <c r="R9" s="10">
        <f t="shared" si="6"/>
        <v>-2.5789668853894686E-2</v>
      </c>
      <c r="S9" s="10">
        <f t="shared" si="6"/>
        <v>-2.5789668853894693E-2</v>
      </c>
      <c r="T9" s="10">
        <f t="shared" si="6"/>
        <v>-1.66092888238666E-2</v>
      </c>
      <c r="U9" s="10">
        <f t="shared" si="6"/>
        <v>-1.6018929206926068E-2</v>
      </c>
      <c r="V9" s="10">
        <f t="shared" si="6"/>
        <v>-1.2930567700411677E-2</v>
      </c>
      <c r="W9" s="10" t="str">
        <f t="shared" si="6"/>
        <v/>
      </c>
    </row>
    <row r="10" spans="1:23" ht="15" customHeight="1" x14ac:dyDescent="0.2">
      <c r="A10" s="168" t="s">
        <v>497</v>
      </c>
      <c r="B10" s="169">
        <v>-1134168</v>
      </c>
      <c r="C10" s="169">
        <v>-6981641</v>
      </c>
      <c r="D10" s="171">
        <v>-5417016</v>
      </c>
      <c r="E10" s="169">
        <v>-6949689</v>
      </c>
      <c r="F10" s="171">
        <v>-4813512</v>
      </c>
      <c r="G10" s="169">
        <v>-3333891</v>
      </c>
      <c r="H10" s="171">
        <f t="shared" si="0"/>
        <v>-2023323.6027747265</v>
      </c>
      <c r="I10" s="169">
        <v>-586000</v>
      </c>
      <c r="J10" s="169">
        <v>-424000</v>
      </c>
      <c r="K10" s="169">
        <v>-318000</v>
      </c>
      <c r="L10" s="144"/>
      <c r="M10" s="45">
        <f t="shared" ref="M10:W10" si="7">IFERROR(B10/B14,"")</f>
        <v>-2.8003820399731618E-2</v>
      </c>
      <c r="N10" s="10">
        <f t="shared" si="7"/>
        <v>-0.2166244782609478</v>
      </c>
      <c r="O10" s="10">
        <f t="shared" si="7"/>
        <v>-0.22000027697940877</v>
      </c>
      <c r="P10" s="10">
        <f t="shared" si="7"/>
        <v>-0.74395920908565782</v>
      </c>
      <c r="Q10" s="10">
        <f t="shared" si="7"/>
        <v>-0.74395931579715269</v>
      </c>
      <c r="R10" s="10">
        <f t="shared" si="7"/>
        <v>-0.17196848819436933</v>
      </c>
      <c r="S10" s="10">
        <f t="shared" si="7"/>
        <v>-0.17196848819436936</v>
      </c>
      <c r="T10" s="10">
        <f t="shared" si="7"/>
        <v>-0.11586956250935508</v>
      </c>
      <c r="U10" s="10">
        <f t="shared" si="7"/>
        <v>-0.10954880618930085</v>
      </c>
      <c r="V10" s="10">
        <f t="shared" si="7"/>
        <v>-8.566501101522736E-2</v>
      </c>
      <c r="W10" s="10" t="str">
        <f t="shared" si="7"/>
        <v/>
      </c>
    </row>
    <row r="11" spans="1:23" ht="15" customHeight="1" x14ac:dyDescent="0.2">
      <c r="A11" s="168" t="s">
        <v>498</v>
      </c>
      <c r="B11" s="169">
        <v>-2938234</v>
      </c>
      <c r="C11" s="169">
        <v>-1460704</v>
      </c>
      <c r="D11" s="171">
        <v>-1115961</v>
      </c>
      <c r="E11" s="169">
        <v>-4546124</v>
      </c>
      <c r="F11" s="171">
        <v>-3148748</v>
      </c>
      <c r="G11" s="169">
        <v>-1183159</v>
      </c>
      <c r="H11" s="171">
        <f t="shared" si="0"/>
        <v>-718053.9287383249</v>
      </c>
      <c r="I11" s="169">
        <v>-618000</v>
      </c>
      <c r="J11" s="169">
        <v>-410000</v>
      </c>
      <c r="K11" s="169">
        <v>-286000</v>
      </c>
      <c r="L11" s="144"/>
      <c r="M11" s="45">
        <f t="shared" ref="M11:W11" si="8">IFERROR(B11/B14,"")</f>
        <v>-7.2548138572402887E-2</v>
      </c>
      <c r="N11" s="10">
        <f t="shared" si="8"/>
        <v>-4.5322330651730663E-2</v>
      </c>
      <c r="O11" s="10">
        <f t="shared" si="8"/>
        <v>-4.5322319354090514E-2</v>
      </c>
      <c r="P11" s="10">
        <f t="shared" si="8"/>
        <v>-0.48665930453079659</v>
      </c>
      <c r="Q11" s="10">
        <f t="shared" si="8"/>
        <v>-0.48665930565824972</v>
      </c>
      <c r="R11" s="10">
        <f t="shared" si="8"/>
        <v>-6.1029609103465533E-2</v>
      </c>
      <c r="S11" s="10">
        <f t="shared" si="8"/>
        <v>-6.1029609103465554E-2</v>
      </c>
      <c r="T11" s="10">
        <f t="shared" si="8"/>
        <v>-0.12219691063273283</v>
      </c>
      <c r="U11" s="10">
        <f t="shared" si="8"/>
        <v>-0.10593162862644658</v>
      </c>
      <c r="V11" s="10">
        <f t="shared" si="8"/>
        <v>-7.7044632548286238E-2</v>
      </c>
      <c r="W11" s="10" t="str">
        <f t="shared" si="8"/>
        <v/>
      </c>
    </row>
    <row r="12" spans="1:23" ht="15" customHeight="1" x14ac:dyDescent="0.2">
      <c r="A12" s="168" t="s">
        <v>665</v>
      </c>
      <c r="B12" s="169">
        <v>28570679</v>
      </c>
      <c r="C12" s="169">
        <v>28248574</v>
      </c>
      <c r="D12" s="171">
        <v>22503965</v>
      </c>
      <c r="E12" s="169">
        <v>18752757</v>
      </c>
      <c r="F12" s="171">
        <v>12988584</v>
      </c>
      <c r="G12" s="169">
        <v>16389405</v>
      </c>
      <c r="H12" s="171">
        <f t="shared" si="0"/>
        <v>9946656.9158782084</v>
      </c>
      <c r="I12" s="169">
        <v>5842000</v>
      </c>
      <c r="J12" s="169">
        <v>4268000</v>
      </c>
      <c r="K12" s="169">
        <v>3128000</v>
      </c>
      <c r="L12" s="144"/>
      <c r="M12" s="45">
        <f t="shared" ref="M12:W12" si="9">IFERROR(B12/B14,"")</f>
        <v>0.70544060792967511</v>
      </c>
      <c r="N12" s="10">
        <f t="shared" si="9"/>
        <v>0.87648915267424599</v>
      </c>
      <c r="O12" s="10">
        <f t="shared" si="9"/>
        <v>0.91394940187271378</v>
      </c>
      <c r="P12" s="10">
        <f t="shared" si="9"/>
        <v>2.0074691494677723</v>
      </c>
      <c r="Q12" s="10">
        <f t="shared" si="9"/>
        <v>2.0074694040056085</v>
      </c>
      <c r="R12" s="10">
        <f t="shared" si="9"/>
        <v>0.84539692517099019</v>
      </c>
      <c r="S12" s="10">
        <f t="shared" si="9"/>
        <v>0.84539692517099041</v>
      </c>
      <c r="T12" s="10">
        <f t="shared" si="9"/>
        <v>1.1551364917741509</v>
      </c>
      <c r="U12" s="10">
        <f t="shared" si="9"/>
        <v>1.1027224170187171</v>
      </c>
      <c r="V12" s="10">
        <f t="shared" si="9"/>
        <v>0.84264199514349425</v>
      </c>
      <c r="W12" s="10" t="str">
        <f t="shared" si="9"/>
        <v/>
      </c>
    </row>
    <row r="13" spans="1:23" ht="15" customHeight="1" x14ac:dyDescent="0.2">
      <c r="A13" s="141" t="s">
        <v>666</v>
      </c>
      <c r="B13" s="172">
        <v>-27328157</v>
      </c>
      <c r="C13" s="172">
        <v>-20964407</v>
      </c>
      <c r="D13" s="173">
        <v>-16118596</v>
      </c>
      <c r="E13" s="172">
        <v>-26333403</v>
      </c>
      <c r="F13" s="173">
        <v>-18877849</v>
      </c>
      <c r="G13" s="172">
        <v>-28263149</v>
      </c>
      <c r="H13" s="173">
        <f t="shared" si="0"/>
        <v>-17152779.278158437</v>
      </c>
      <c r="I13" s="172">
        <v>-6086589</v>
      </c>
      <c r="J13" s="172">
        <v>-3735579</v>
      </c>
      <c r="K13" s="172">
        <v>-1787866</v>
      </c>
      <c r="L13" s="144"/>
      <c r="M13" s="45">
        <f t="shared" ref="M13:W13" si="10">IFERROR(B13/B14,"")</f>
        <v>-0.6747614114343452</v>
      </c>
      <c r="N13" s="10">
        <f t="shared" si="10"/>
        <v>-0.65047797909190153</v>
      </c>
      <c r="O13" s="10">
        <f t="shared" si="10"/>
        <v>-0.65462158216242861</v>
      </c>
      <c r="P13" s="10">
        <f t="shared" si="10"/>
        <v>-2.8189718516057178</v>
      </c>
      <c r="Q13" s="10">
        <f t="shared" si="10"/>
        <v>-2.9176932821112658</v>
      </c>
      <c r="R13" s="10">
        <f t="shared" si="10"/>
        <v>-1.4578674003265857</v>
      </c>
      <c r="S13" s="10">
        <f t="shared" si="10"/>
        <v>-1.4578674003265861</v>
      </c>
      <c r="T13" s="10">
        <f t="shared" si="10"/>
        <v>-1.2034989839663022</v>
      </c>
      <c r="U13" s="10">
        <f t="shared" si="10"/>
        <v>-0.96516089593354315</v>
      </c>
      <c r="V13" s="10">
        <f t="shared" si="10"/>
        <v>-0.48162754900550464</v>
      </c>
      <c r="W13" s="10" t="str">
        <f t="shared" si="10"/>
        <v/>
      </c>
    </row>
    <row r="14" spans="1:23" ht="15.75" customHeight="1" x14ac:dyDescent="0.2">
      <c r="A14" s="174" t="s">
        <v>499</v>
      </c>
      <c r="B14" s="175">
        <f t="shared" ref="B14:K14" si="11">B4+B5+B6+B7+B8+B9+B10+B11+B12+B13</f>
        <v>40500474</v>
      </c>
      <c r="C14" s="175">
        <f t="shared" si="11"/>
        <v>32229234</v>
      </c>
      <c r="D14" s="176">
        <f t="shared" si="11"/>
        <v>24622769</v>
      </c>
      <c r="E14" s="175">
        <f t="shared" si="11"/>
        <v>9341492</v>
      </c>
      <c r="F14" s="176">
        <f t="shared" si="11"/>
        <v>6470128</v>
      </c>
      <c r="G14" s="175">
        <f t="shared" si="11"/>
        <v>19386639</v>
      </c>
      <c r="H14" s="176">
        <f t="shared" si="11"/>
        <v>11765664.88441674</v>
      </c>
      <c r="I14" s="175">
        <f t="shared" si="11"/>
        <v>5057411</v>
      </c>
      <c r="J14" s="175">
        <f t="shared" si="11"/>
        <v>3870421</v>
      </c>
      <c r="K14" s="175">
        <f t="shared" si="11"/>
        <v>3712134</v>
      </c>
      <c r="L14" s="177"/>
      <c r="M14" s="178">
        <f t="shared" ref="M14:W14" si="12">IFERROR(B14/B14,"")</f>
        <v>1</v>
      </c>
      <c r="N14" s="37">
        <f t="shared" si="12"/>
        <v>1</v>
      </c>
      <c r="O14" s="37">
        <f t="shared" si="12"/>
        <v>1</v>
      </c>
      <c r="P14" s="37">
        <f t="shared" si="12"/>
        <v>1</v>
      </c>
      <c r="Q14" s="37">
        <f t="shared" si="12"/>
        <v>1</v>
      </c>
      <c r="R14" s="37">
        <f t="shared" si="12"/>
        <v>1</v>
      </c>
      <c r="S14" s="37">
        <f t="shared" si="12"/>
        <v>1</v>
      </c>
      <c r="T14" s="37">
        <f t="shared" si="12"/>
        <v>1</v>
      </c>
      <c r="U14" s="37">
        <f t="shared" si="12"/>
        <v>1</v>
      </c>
      <c r="V14" s="37">
        <f t="shared" si="12"/>
        <v>1</v>
      </c>
      <c r="W14" s="37" t="str">
        <f t="shared" si="12"/>
        <v/>
      </c>
    </row>
    <row r="15" spans="1:23" ht="15" customHeight="1" x14ac:dyDescent="0.2">
      <c r="A15" s="137"/>
      <c r="D15" s="179"/>
      <c r="F15" s="179"/>
      <c r="H15" s="179"/>
    </row>
    <row r="16" spans="1:23" ht="13.5" customHeight="1" x14ac:dyDescent="0.2">
      <c r="A16" s="165" t="s">
        <v>667</v>
      </c>
      <c r="B16" s="166"/>
      <c r="C16" s="166"/>
      <c r="D16" s="180"/>
      <c r="E16" s="166"/>
      <c r="F16" s="180"/>
      <c r="G16" s="166"/>
      <c r="H16" s="180"/>
      <c r="I16" s="166"/>
      <c r="J16" s="166"/>
      <c r="K16" s="166"/>
      <c r="L16" s="167"/>
      <c r="M16" s="166"/>
      <c r="N16" s="181"/>
    </row>
    <row r="17" spans="1:23" ht="15" customHeight="1" x14ac:dyDescent="0.2">
      <c r="A17" s="168" t="s">
        <v>668</v>
      </c>
      <c r="B17" s="169">
        <v>-2925134</v>
      </c>
      <c r="C17" s="169">
        <v>-2667346</v>
      </c>
      <c r="D17" s="171">
        <v>-2037822</v>
      </c>
      <c r="E17" s="169">
        <v>-3038056</v>
      </c>
      <c r="F17" s="171">
        <v>-2104226</v>
      </c>
      <c r="G17" s="169">
        <v>-1118212</v>
      </c>
      <c r="H17" s="171">
        <f>IFERROR(G17/1.64773,0)</f>
        <v>-678637.88363384781</v>
      </c>
      <c r="I17" s="169">
        <v>-753880</v>
      </c>
      <c r="J17" s="169">
        <v>-310179</v>
      </c>
      <c r="K17" s="169">
        <v>-251889</v>
      </c>
      <c r="L17" s="144"/>
      <c r="M17" s="45">
        <f t="shared" ref="M17:W17" si="13">IFERROR(B17/B14,"")</f>
        <v>-7.2224685567877547E-2</v>
      </c>
      <c r="N17" s="10">
        <f t="shared" si="13"/>
        <v>-8.2761693932905764E-2</v>
      </c>
      <c r="O17" s="10">
        <f t="shared" si="13"/>
        <v>-8.2761691018585284E-2</v>
      </c>
      <c r="P17" s="10">
        <f t="shared" si="13"/>
        <v>-0.32522170976542075</v>
      </c>
      <c r="Q17" s="10">
        <f t="shared" si="13"/>
        <v>-0.32522169576861537</v>
      </c>
      <c r="R17" s="10">
        <f t="shared" si="13"/>
        <v>-5.767951835282021E-2</v>
      </c>
      <c r="S17" s="10">
        <f t="shared" si="13"/>
        <v>-5.7679518352820223E-2</v>
      </c>
      <c r="T17" s="10">
        <f t="shared" si="13"/>
        <v>-0.14906441260162562</v>
      </c>
      <c r="U17" s="10">
        <f t="shared" si="13"/>
        <v>-8.0140894233469692E-2</v>
      </c>
      <c r="V17" s="10">
        <f t="shared" si="13"/>
        <v>-6.7855578489354099E-2</v>
      </c>
      <c r="W17" s="10" t="str">
        <f t="shared" si="13"/>
        <v/>
      </c>
    </row>
    <row r="18" spans="1:23" ht="15" customHeight="1" x14ac:dyDescent="0.2">
      <c r="A18" s="168" t="s">
        <v>669</v>
      </c>
      <c r="B18" s="169">
        <v>-24235505</v>
      </c>
      <c r="C18" s="169">
        <v>-21807133</v>
      </c>
      <c r="D18" s="171">
        <v>-16660402</v>
      </c>
      <c r="E18" s="169">
        <v>-21318902</v>
      </c>
      <c r="F18" s="171">
        <v>-14765953</v>
      </c>
      <c r="G18" s="169">
        <v>-10682327</v>
      </c>
      <c r="H18" s="171">
        <f>IFERROR(G18/1.64773,0)</f>
        <v>-6483056.6901130648</v>
      </c>
      <c r="I18" s="169">
        <v>-2749691</v>
      </c>
      <c r="J18" s="169">
        <v>-1845241</v>
      </c>
      <c r="K18" s="169">
        <v>-1369436</v>
      </c>
      <c r="L18" s="144"/>
      <c r="M18" s="45">
        <f t="shared" ref="M18:W18" si="14">IFERROR(B18/B14,"")</f>
        <v>-0.59840052736172911</v>
      </c>
      <c r="N18" s="10">
        <f t="shared" si="14"/>
        <v>-0.67662585465109104</v>
      </c>
      <c r="O18" s="10">
        <f t="shared" si="14"/>
        <v>-0.67662584983841578</v>
      </c>
      <c r="P18" s="10">
        <f t="shared" si="14"/>
        <v>-2.2821731260916351</v>
      </c>
      <c r="Q18" s="10">
        <f t="shared" si="14"/>
        <v>-2.2821732429404795</v>
      </c>
      <c r="R18" s="10">
        <f t="shared" si="14"/>
        <v>-0.55101490258316566</v>
      </c>
      <c r="S18" s="10">
        <f t="shared" si="14"/>
        <v>-0.55101490258316577</v>
      </c>
      <c r="T18" s="10">
        <f t="shared" si="14"/>
        <v>-0.54369538089745917</v>
      </c>
      <c r="U18" s="10">
        <f t="shared" si="14"/>
        <v>-0.47675459594705588</v>
      </c>
      <c r="V18" s="10">
        <f t="shared" si="14"/>
        <v>-0.36890801894543679</v>
      </c>
      <c r="W18" s="10" t="str">
        <f t="shared" si="14"/>
        <v/>
      </c>
    </row>
    <row r="19" spans="1:23" ht="15" customHeight="1" x14ac:dyDescent="0.2">
      <c r="A19" s="168" t="s">
        <v>509</v>
      </c>
      <c r="B19" s="169">
        <v>2421696</v>
      </c>
      <c r="C19" s="169">
        <v>3468586</v>
      </c>
      <c r="D19" s="171">
        <v>2649960</v>
      </c>
      <c r="E19" s="169">
        <v>3430767</v>
      </c>
      <c r="F19" s="171">
        <v>2376227</v>
      </c>
      <c r="G19" s="169">
        <v>477612</v>
      </c>
      <c r="H19" s="171">
        <f>IFERROR(G19/1.64773,0)</f>
        <v>289860.59609280649</v>
      </c>
      <c r="I19" s="169">
        <v>111545</v>
      </c>
      <c r="J19" s="169">
        <v>49097</v>
      </c>
      <c r="K19" s="169">
        <v>122406</v>
      </c>
      <c r="L19" s="144"/>
      <c r="M19" s="45">
        <f t="shared" ref="M19:W19" si="15">IFERROR(B19/B14,"")</f>
        <v>5.9794263148623891E-2</v>
      </c>
      <c r="N19" s="10">
        <f t="shared" si="15"/>
        <v>0.10762235304754683</v>
      </c>
      <c r="O19" s="10">
        <f t="shared" si="15"/>
        <v>0.10762233930716728</v>
      </c>
      <c r="P19" s="10">
        <f t="shared" si="15"/>
        <v>0.3672611398693057</v>
      </c>
      <c r="Q19" s="10">
        <f t="shared" si="15"/>
        <v>0.36726120410600843</v>
      </c>
      <c r="R19" s="10">
        <f t="shared" si="15"/>
        <v>2.4636142448415117E-2</v>
      </c>
      <c r="S19" s="10">
        <f t="shared" si="15"/>
        <v>2.4636142448415124E-2</v>
      </c>
      <c r="T19" s="10">
        <f t="shared" si="15"/>
        <v>2.2055751450692853E-2</v>
      </c>
      <c r="U19" s="10">
        <f t="shared" si="15"/>
        <v>1.2685183343104018E-2</v>
      </c>
      <c r="V19" s="10">
        <f t="shared" si="15"/>
        <v>3.2974563957012329E-2</v>
      </c>
      <c r="W19" s="10" t="str">
        <f t="shared" si="15"/>
        <v/>
      </c>
    </row>
    <row r="20" spans="1:23" ht="15.75" customHeight="1" x14ac:dyDescent="0.2">
      <c r="A20" s="141" t="s">
        <v>503</v>
      </c>
      <c r="B20" s="172">
        <v>0</v>
      </c>
      <c r="C20" s="172">
        <v>0</v>
      </c>
      <c r="D20" s="173">
        <v>0</v>
      </c>
      <c r="E20" s="172">
        <v>0</v>
      </c>
      <c r="F20" s="173">
        <v>0</v>
      </c>
      <c r="G20" s="172">
        <v>0</v>
      </c>
      <c r="H20" s="173">
        <f>IFERROR(G20/1.64773,0)</f>
        <v>0</v>
      </c>
      <c r="I20" s="172">
        <v>126108</v>
      </c>
      <c r="J20" s="172">
        <v>-121455</v>
      </c>
      <c r="K20" s="172">
        <v>0</v>
      </c>
      <c r="L20" s="144"/>
      <c r="M20" s="45">
        <f t="shared" ref="M20:W20" si="16">IFERROR(B20/B14,"")</f>
        <v>0</v>
      </c>
      <c r="N20" s="10">
        <f t="shared" si="16"/>
        <v>0</v>
      </c>
      <c r="O20" s="10">
        <f t="shared" si="16"/>
        <v>0</v>
      </c>
      <c r="P20" s="10">
        <f t="shared" si="16"/>
        <v>0</v>
      </c>
      <c r="Q20" s="10">
        <f t="shared" si="16"/>
        <v>0</v>
      </c>
      <c r="R20" s="10">
        <f t="shared" si="16"/>
        <v>0</v>
      </c>
      <c r="S20" s="10">
        <f t="shared" si="16"/>
        <v>0</v>
      </c>
      <c r="T20" s="10">
        <f t="shared" si="16"/>
        <v>2.4935288035716298E-2</v>
      </c>
      <c r="U20" s="10">
        <f t="shared" si="16"/>
        <v>-3.1380307206890411E-2</v>
      </c>
      <c r="V20" s="10">
        <f t="shared" si="16"/>
        <v>0</v>
      </c>
      <c r="W20" s="10" t="str">
        <f t="shared" si="16"/>
        <v/>
      </c>
    </row>
    <row r="21" spans="1:23" ht="15" customHeight="1" x14ac:dyDescent="0.2">
      <c r="A21" s="174" t="s">
        <v>504</v>
      </c>
      <c r="B21" s="182">
        <f t="shared" ref="B21:K21" si="17">B17+B18+B19+B20</f>
        <v>-24738943</v>
      </c>
      <c r="C21" s="182">
        <f t="shared" si="17"/>
        <v>-21005893</v>
      </c>
      <c r="D21" s="183">
        <f t="shared" si="17"/>
        <v>-16048264</v>
      </c>
      <c r="E21" s="182">
        <f t="shared" si="17"/>
        <v>-20926191</v>
      </c>
      <c r="F21" s="183">
        <f t="shared" si="17"/>
        <v>-14493952</v>
      </c>
      <c r="G21" s="182">
        <f t="shared" si="17"/>
        <v>-11322927</v>
      </c>
      <c r="H21" s="183">
        <f t="shared" si="17"/>
        <v>-6871833.977654106</v>
      </c>
      <c r="I21" s="182">
        <f t="shared" si="17"/>
        <v>-3265918</v>
      </c>
      <c r="J21" s="182">
        <f t="shared" si="17"/>
        <v>-2227778</v>
      </c>
      <c r="K21" s="182">
        <f t="shared" si="17"/>
        <v>-1498919</v>
      </c>
      <c r="L21" s="177"/>
      <c r="M21" s="178">
        <f t="shared" ref="M21:W21" si="18">IFERROR(B21/B14,"")</f>
        <v>-0.61083094978098285</v>
      </c>
      <c r="N21" s="37">
        <f t="shared" si="18"/>
        <v>-0.65176519553644996</v>
      </c>
      <c r="O21" s="37">
        <f t="shared" si="18"/>
        <v>-0.65176520154983386</v>
      </c>
      <c r="P21" s="37">
        <f t="shared" si="18"/>
        <v>-2.2401336959877503</v>
      </c>
      <c r="Q21" s="37">
        <f t="shared" si="18"/>
        <v>-2.2401337346030865</v>
      </c>
      <c r="R21" s="37">
        <f t="shared" si="18"/>
        <v>-0.58405827848757075</v>
      </c>
      <c r="S21" s="37">
        <f t="shared" si="18"/>
        <v>-0.58405827848757086</v>
      </c>
      <c r="T21" s="37">
        <f t="shared" si="18"/>
        <v>-0.64576875401267564</v>
      </c>
      <c r="U21" s="37">
        <f t="shared" si="18"/>
        <v>-0.575590614044312</v>
      </c>
      <c r="V21" s="37">
        <f t="shared" si="18"/>
        <v>-0.40378903347777856</v>
      </c>
      <c r="W21" s="37" t="str">
        <f t="shared" si="18"/>
        <v/>
      </c>
    </row>
    <row r="22" spans="1:23" ht="13.5" customHeight="1" x14ac:dyDescent="0.2">
      <c r="A22" s="137"/>
      <c r="B22" s="138"/>
      <c r="C22" s="138"/>
      <c r="D22" s="139"/>
      <c r="E22" s="138"/>
      <c r="F22" s="139"/>
      <c r="G22" s="138"/>
      <c r="H22" s="139"/>
      <c r="I22" s="138"/>
      <c r="J22" s="138"/>
      <c r="K22" s="138"/>
      <c r="L22" s="138"/>
      <c r="M22" s="138"/>
      <c r="N22" s="125"/>
    </row>
    <row r="23" spans="1:23" ht="15.75" customHeight="1" x14ac:dyDescent="0.2">
      <c r="A23" s="165" t="s">
        <v>670</v>
      </c>
      <c r="B23" s="166"/>
      <c r="C23" s="166"/>
      <c r="D23" s="180"/>
      <c r="E23" s="166"/>
      <c r="F23" s="180"/>
      <c r="G23" s="166"/>
      <c r="H23" s="180"/>
      <c r="I23" s="166"/>
      <c r="J23" s="166"/>
      <c r="K23" s="166"/>
      <c r="L23" s="167"/>
      <c r="M23" s="166"/>
      <c r="N23" s="181"/>
    </row>
    <row r="24" spans="1:23" ht="15" customHeight="1" x14ac:dyDescent="0.2">
      <c r="A24" s="141" t="s">
        <v>671</v>
      </c>
      <c r="B24" s="142">
        <v>42600404</v>
      </c>
      <c r="C24" s="142">
        <v>57494826</v>
      </c>
      <c r="D24" s="143">
        <v>43925393</v>
      </c>
      <c r="E24" s="142">
        <v>52467628</v>
      </c>
      <c r="F24" s="143">
        <v>36340265</v>
      </c>
      <c r="G24" s="142">
        <v>71622167</v>
      </c>
      <c r="H24" s="143">
        <f>IFERROR(G24/1.64773,0)</f>
        <v>43467174.233642653</v>
      </c>
      <c r="I24" s="142">
        <v>16479807</v>
      </c>
      <c r="J24" s="142">
        <v>14075458</v>
      </c>
      <c r="K24" s="142">
        <v>21517121</v>
      </c>
      <c r="L24" s="144"/>
      <c r="M24" s="45">
        <f t="shared" ref="M24:W24" si="19">IFERROR(B24/B14,"")</f>
        <v>1.0518495166254103</v>
      </c>
      <c r="N24" s="10">
        <f t="shared" si="19"/>
        <v>1.7839339898677082</v>
      </c>
      <c r="O24" s="10">
        <f t="shared" si="19"/>
        <v>1.7839339271712291</v>
      </c>
      <c r="P24" s="10">
        <f t="shared" si="19"/>
        <v>5.6166218415644948</v>
      </c>
      <c r="Q24" s="10">
        <f t="shared" si="19"/>
        <v>5.6166222677511168</v>
      </c>
      <c r="R24" s="10">
        <f t="shared" si="19"/>
        <v>3.6944086594896621</v>
      </c>
      <c r="S24" s="10">
        <f t="shared" si="19"/>
        <v>3.694408659489663</v>
      </c>
      <c r="T24" s="10">
        <f t="shared" si="19"/>
        <v>3.2585461217211731</v>
      </c>
      <c r="U24" s="10">
        <f t="shared" si="19"/>
        <v>3.6366736331784062</v>
      </c>
      <c r="V24" s="10">
        <f t="shared" si="19"/>
        <v>5.7964289543427041</v>
      </c>
      <c r="W24" s="10" t="str">
        <f t="shared" si="19"/>
        <v/>
      </c>
    </row>
    <row r="25" spans="1:23" ht="15" customHeight="1" x14ac:dyDescent="0.2">
      <c r="A25" s="141" t="s">
        <v>672</v>
      </c>
      <c r="B25" s="142">
        <v>0</v>
      </c>
      <c r="C25" s="142">
        <v>0</v>
      </c>
      <c r="D25" s="143">
        <v>0</v>
      </c>
      <c r="E25" s="142">
        <v>0</v>
      </c>
      <c r="F25" s="143">
        <v>0</v>
      </c>
      <c r="G25" s="142">
        <v>0</v>
      </c>
      <c r="H25" s="143">
        <f>IFERROR(G25/1.64773,0)</f>
        <v>0</v>
      </c>
      <c r="I25" s="142">
        <v>0</v>
      </c>
      <c r="J25" s="142">
        <v>0</v>
      </c>
      <c r="K25" s="142">
        <v>0</v>
      </c>
      <c r="L25" s="144"/>
      <c r="M25" s="45">
        <f t="shared" ref="M25:W25" si="20">IFERROR(B25/B14,"")</f>
        <v>0</v>
      </c>
      <c r="N25" s="10">
        <f t="shared" si="20"/>
        <v>0</v>
      </c>
      <c r="O25" s="10">
        <f t="shared" si="20"/>
        <v>0</v>
      </c>
      <c r="P25" s="10">
        <f t="shared" si="20"/>
        <v>0</v>
      </c>
      <c r="Q25" s="10">
        <f t="shared" si="20"/>
        <v>0</v>
      </c>
      <c r="R25" s="10">
        <f t="shared" si="20"/>
        <v>0</v>
      </c>
      <c r="S25" s="10">
        <f t="shared" si="20"/>
        <v>0</v>
      </c>
      <c r="T25" s="10">
        <f t="shared" si="20"/>
        <v>0</v>
      </c>
      <c r="U25" s="10">
        <f t="shared" si="20"/>
        <v>0</v>
      </c>
      <c r="V25" s="10">
        <f t="shared" si="20"/>
        <v>0</v>
      </c>
      <c r="W25" s="10" t="str">
        <f t="shared" si="20"/>
        <v/>
      </c>
    </row>
    <row r="26" spans="1:23" ht="15" customHeight="1" x14ac:dyDescent="0.2">
      <c r="A26" s="174" t="s">
        <v>673</v>
      </c>
      <c r="B26" s="175">
        <f t="shared" ref="B26:K26" si="21">B24+B25</f>
        <v>42600404</v>
      </c>
      <c r="C26" s="175">
        <f t="shared" si="21"/>
        <v>57494826</v>
      </c>
      <c r="D26" s="176">
        <f t="shared" si="21"/>
        <v>43925393</v>
      </c>
      <c r="E26" s="175">
        <f t="shared" si="21"/>
        <v>52467628</v>
      </c>
      <c r="F26" s="176">
        <f t="shared" si="21"/>
        <v>36340265</v>
      </c>
      <c r="G26" s="175">
        <f t="shared" si="21"/>
        <v>71622167</v>
      </c>
      <c r="H26" s="176">
        <f t="shared" si="21"/>
        <v>43467174.233642653</v>
      </c>
      <c r="I26" s="175">
        <f t="shared" si="21"/>
        <v>16479807</v>
      </c>
      <c r="J26" s="175">
        <f t="shared" si="21"/>
        <v>14075458</v>
      </c>
      <c r="K26" s="175">
        <f t="shared" si="21"/>
        <v>21517121</v>
      </c>
      <c r="L26" s="177"/>
      <c r="M26" s="178">
        <f t="shared" ref="M26:W26" si="22">IFERROR(B26/B14,"")</f>
        <v>1.0518495166254103</v>
      </c>
      <c r="N26" s="37">
        <f t="shared" si="22"/>
        <v>1.7839339898677082</v>
      </c>
      <c r="O26" s="37">
        <f t="shared" si="22"/>
        <v>1.7839339271712291</v>
      </c>
      <c r="P26" s="37">
        <f t="shared" si="22"/>
        <v>5.6166218415644948</v>
      </c>
      <c r="Q26" s="37">
        <f t="shared" si="22"/>
        <v>5.6166222677511168</v>
      </c>
      <c r="R26" s="37">
        <f t="shared" si="22"/>
        <v>3.6944086594896621</v>
      </c>
      <c r="S26" s="37">
        <f t="shared" si="22"/>
        <v>3.694408659489663</v>
      </c>
      <c r="T26" s="37">
        <f t="shared" si="22"/>
        <v>3.2585461217211731</v>
      </c>
      <c r="U26" s="37">
        <f t="shared" si="22"/>
        <v>3.6366736331784062</v>
      </c>
      <c r="V26" s="37">
        <f t="shared" si="22"/>
        <v>5.7964289543427041</v>
      </c>
      <c r="W26" s="37" t="str">
        <f t="shared" si="22"/>
        <v/>
      </c>
    </row>
    <row r="27" spans="1:23" ht="15" customHeight="1" x14ac:dyDescent="0.2">
      <c r="A27" s="168" t="s">
        <v>674</v>
      </c>
      <c r="B27" s="169">
        <v>-27015750</v>
      </c>
      <c r="C27" s="169">
        <v>-28296379</v>
      </c>
      <c r="D27" s="171">
        <v>-21618112</v>
      </c>
      <c r="E27" s="169">
        <v>-30119159</v>
      </c>
      <c r="F27" s="171">
        <v>-20861210</v>
      </c>
      <c r="G27" s="169">
        <v>-55868847</v>
      </c>
      <c r="H27" s="171">
        <f>IFERROR(G27/1.64773,0)</f>
        <v>-33906554.471909843</v>
      </c>
      <c r="I27" s="169">
        <v>-15608222</v>
      </c>
      <c r="J27" s="169">
        <v>-13519861</v>
      </c>
      <c r="K27" s="169">
        <v>-21554598</v>
      </c>
      <c r="L27" s="144"/>
      <c r="M27" s="45">
        <f t="shared" ref="M27:W27" si="23">IFERROR(B27/B14,"")</f>
        <v>-0.66704774862634941</v>
      </c>
      <c r="N27" s="10">
        <f t="shared" si="23"/>
        <v>-0.87797243335041719</v>
      </c>
      <c r="O27" s="10">
        <f t="shared" si="23"/>
        <v>-0.87797241650603963</v>
      </c>
      <c r="P27" s="10">
        <f t="shared" si="23"/>
        <v>-3.2242343086093741</v>
      </c>
      <c r="Q27" s="10">
        <f t="shared" si="23"/>
        <v>-3.2242345128257122</v>
      </c>
      <c r="R27" s="10">
        <f t="shared" si="23"/>
        <v>-2.8818222178687085</v>
      </c>
      <c r="S27" s="10">
        <f t="shared" si="23"/>
        <v>-2.8818222178687094</v>
      </c>
      <c r="T27" s="10">
        <f t="shared" si="23"/>
        <v>-3.0862079431551046</v>
      </c>
      <c r="U27" s="10">
        <f t="shared" si="23"/>
        <v>-3.4931241330077527</v>
      </c>
      <c r="V27" s="10">
        <f t="shared" si="23"/>
        <v>-5.8065247644616278</v>
      </c>
      <c r="W27" s="10" t="str">
        <f t="shared" si="23"/>
        <v/>
      </c>
    </row>
    <row r="28" spans="1:23" ht="15.75" customHeight="1" x14ac:dyDescent="0.2">
      <c r="A28" s="168" t="s">
        <v>675</v>
      </c>
      <c r="B28" s="169">
        <v>-1095143</v>
      </c>
      <c r="C28" s="169">
        <v>-917460</v>
      </c>
      <c r="D28" s="171">
        <v>-700929</v>
      </c>
      <c r="E28" s="169">
        <v>-664450</v>
      </c>
      <c r="F28" s="171">
        <v>-460213</v>
      </c>
      <c r="G28" s="169">
        <v>-406833</v>
      </c>
      <c r="H28" s="171">
        <f>IFERROR(G28/1.64773,0)</f>
        <v>-246905.13615701604</v>
      </c>
      <c r="I28" s="169">
        <v>-148644</v>
      </c>
      <c r="J28" s="169">
        <v>-110433</v>
      </c>
      <c r="K28" s="169">
        <v>-87791</v>
      </c>
      <c r="L28" s="144"/>
      <c r="M28" s="45">
        <f t="shared" ref="M28:W28" si="24">IFERROR(B28/B14,"")</f>
        <v>-2.7040251430143755E-2</v>
      </c>
      <c r="N28" s="10">
        <f t="shared" si="24"/>
        <v>-2.8466702001046628E-2</v>
      </c>
      <c r="O28" s="10">
        <f t="shared" si="24"/>
        <v>-2.8466700881610837E-2</v>
      </c>
      <c r="P28" s="10">
        <f t="shared" si="24"/>
        <v>-7.1128894613408655E-2</v>
      </c>
      <c r="Q28" s="10">
        <f t="shared" si="24"/>
        <v>-7.1128886476434464E-2</v>
      </c>
      <c r="R28" s="10">
        <f t="shared" si="24"/>
        <v>-2.098522595897102E-2</v>
      </c>
      <c r="S28" s="10">
        <f t="shared" si="24"/>
        <v>-2.0985225958971027E-2</v>
      </c>
      <c r="T28" s="10">
        <f t="shared" si="24"/>
        <v>-2.939132295160508E-2</v>
      </c>
      <c r="U28" s="10">
        <f t="shared" si="24"/>
        <v>-2.8532554985620427E-2</v>
      </c>
      <c r="V28" s="10">
        <f t="shared" si="24"/>
        <v>-2.3649738937225866E-2</v>
      </c>
      <c r="W28" s="10" t="str">
        <f t="shared" si="24"/>
        <v/>
      </c>
    </row>
    <row r="29" spans="1:23" ht="15" customHeight="1" x14ac:dyDescent="0.2">
      <c r="A29" s="168" t="s">
        <v>676</v>
      </c>
      <c r="B29" s="169">
        <v>-31528714</v>
      </c>
      <c r="C29" s="169">
        <v>-27732016</v>
      </c>
      <c r="D29" s="171">
        <v>-21186945</v>
      </c>
      <c r="E29" s="169">
        <v>-9943181</v>
      </c>
      <c r="F29" s="171">
        <v>-6886872</v>
      </c>
      <c r="G29" s="169">
        <v>-7066049</v>
      </c>
      <c r="H29" s="171">
        <f>IFERROR(G29/1.64773,0)</f>
        <v>-4288353.6744490908</v>
      </c>
      <c r="I29" s="169">
        <v>-1557187</v>
      </c>
      <c r="J29" s="169">
        <v>-1260381</v>
      </c>
      <c r="K29" s="169">
        <v>-1708086</v>
      </c>
      <c r="L29" s="144"/>
      <c r="M29" s="45">
        <f t="shared" ref="M29:W29" si="25">IFERROR(B29/B14,"")</f>
        <v>-0.77847765436029215</v>
      </c>
      <c r="N29" s="10">
        <f t="shared" si="25"/>
        <v>-0.86046153005063664</v>
      </c>
      <c r="O29" s="10">
        <f t="shared" si="25"/>
        <v>-0.86046151023875506</v>
      </c>
      <c r="P29" s="10">
        <f t="shared" si="25"/>
        <v>-1.0644103747024565</v>
      </c>
      <c r="Q29" s="10">
        <f t="shared" si="25"/>
        <v>-1.0644104722503172</v>
      </c>
      <c r="R29" s="10">
        <f t="shared" si="25"/>
        <v>-0.36448035164836978</v>
      </c>
      <c r="S29" s="10">
        <f t="shared" si="25"/>
        <v>-0.36448035164836989</v>
      </c>
      <c r="T29" s="10">
        <f t="shared" si="25"/>
        <v>-0.30790200756869474</v>
      </c>
      <c r="U29" s="10">
        <f t="shared" si="25"/>
        <v>-0.32564441956055945</v>
      </c>
      <c r="V29" s="10">
        <f t="shared" si="25"/>
        <v>-0.46013586794011208</v>
      </c>
      <c r="W29" s="10" t="str">
        <f t="shared" si="25"/>
        <v/>
      </c>
    </row>
    <row r="30" spans="1:23" ht="15.75" customHeight="1" x14ac:dyDescent="0.2">
      <c r="A30" s="168" t="s">
        <v>510</v>
      </c>
      <c r="B30" s="169">
        <v>-4031163</v>
      </c>
      <c r="C30" s="169">
        <v>-5245222</v>
      </c>
      <c r="D30" s="171">
        <v>-4007290</v>
      </c>
      <c r="E30" s="169">
        <v>-5743225</v>
      </c>
      <c r="F30" s="171">
        <v>-3977888</v>
      </c>
      <c r="G30" s="169">
        <v>-3227809</v>
      </c>
      <c r="H30" s="171">
        <f>IFERROR(G30/1.64773,0)</f>
        <v>-1958942.9093358743</v>
      </c>
      <c r="I30" s="169">
        <v>-1133826</v>
      </c>
      <c r="J30" s="169">
        <v>-708641</v>
      </c>
      <c r="K30" s="169">
        <v>-472427</v>
      </c>
      <c r="L30" s="144"/>
      <c r="M30" s="45">
        <f t="shared" ref="M30:W30" si="26">IFERROR(B30/B14,"")</f>
        <v>-9.9533723975674948E-2</v>
      </c>
      <c r="N30" s="10">
        <f t="shared" si="26"/>
        <v>-0.16274733678125891</v>
      </c>
      <c r="O30" s="10">
        <f t="shared" si="26"/>
        <v>-0.16274733357568355</v>
      </c>
      <c r="P30" s="10">
        <f t="shared" si="26"/>
        <v>-0.61480810560026167</v>
      </c>
      <c r="Q30" s="10">
        <f t="shared" si="26"/>
        <v>-0.61480823872417978</v>
      </c>
      <c r="R30" s="10">
        <f t="shared" si="26"/>
        <v>-0.1664965752960067</v>
      </c>
      <c r="S30" s="10">
        <f t="shared" si="26"/>
        <v>-0.16649657529600673</v>
      </c>
      <c r="T30" s="10">
        <f t="shared" si="26"/>
        <v>-0.22419099416677821</v>
      </c>
      <c r="U30" s="10">
        <f t="shared" si="26"/>
        <v>-0.18309145180847253</v>
      </c>
      <c r="V30" s="10">
        <f t="shared" si="26"/>
        <v>-0.12726561056254973</v>
      </c>
      <c r="W30" s="10" t="str">
        <f t="shared" si="26"/>
        <v/>
      </c>
    </row>
    <row r="31" spans="1:23" ht="15" customHeight="1" x14ac:dyDescent="0.2">
      <c r="A31" s="141" t="s">
        <v>677</v>
      </c>
      <c r="B31" s="172">
        <v>0</v>
      </c>
      <c r="C31" s="172">
        <v>0</v>
      </c>
      <c r="D31" s="173">
        <v>0</v>
      </c>
      <c r="E31" s="172">
        <v>0</v>
      </c>
      <c r="F31" s="173">
        <v>0</v>
      </c>
      <c r="G31" s="172">
        <v>0</v>
      </c>
      <c r="H31" s="173">
        <f>IFERROR(G31/1.64773,0)</f>
        <v>0</v>
      </c>
      <c r="I31" s="172">
        <v>0</v>
      </c>
      <c r="J31" s="172">
        <v>0</v>
      </c>
      <c r="K31" s="172">
        <v>0</v>
      </c>
      <c r="L31" s="144"/>
      <c r="M31" s="45">
        <f t="shared" ref="M31:W31" si="27">IFERROR(B31/B14,"")</f>
        <v>0</v>
      </c>
      <c r="N31" s="10">
        <f t="shared" si="27"/>
        <v>0</v>
      </c>
      <c r="O31" s="10">
        <f t="shared" si="27"/>
        <v>0</v>
      </c>
      <c r="P31" s="10">
        <f t="shared" si="27"/>
        <v>0</v>
      </c>
      <c r="Q31" s="10">
        <f t="shared" si="27"/>
        <v>0</v>
      </c>
      <c r="R31" s="10">
        <f t="shared" si="27"/>
        <v>0</v>
      </c>
      <c r="S31" s="10">
        <f t="shared" si="27"/>
        <v>0</v>
      </c>
      <c r="T31" s="10">
        <f t="shared" si="27"/>
        <v>0</v>
      </c>
      <c r="U31" s="10">
        <f t="shared" si="27"/>
        <v>0</v>
      </c>
      <c r="V31" s="10">
        <f t="shared" si="27"/>
        <v>0</v>
      </c>
      <c r="W31" s="10" t="str">
        <f t="shared" si="27"/>
        <v/>
      </c>
    </row>
    <row r="32" spans="1:23" ht="15" customHeight="1" x14ac:dyDescent="0.2">
      <c r="A32" s="174" t="s">
        <v>511</v>
      </c>
      <c r="B32" s="175">
        <f t="shared" ref="B32:K32" si="28">B26+B27+B28+B29+B30+B31</f>
        <v>-21070366</v>
      </c>
      <c r="C32" s="175">
        <f t="shared" si="28"/>
        <v>-4696251</v>
      </c>
      <c r="D32" s="176">
        <f t="shared" si="28"/>
        <v>-3587883</v>
      </c>
      <c r="E32" s="175">
        <f t="shared" si="28"/>
        <v>5997613</v>
      </c>
      <c r="F32" s="176">
        <f t="shared" si="28"/>
        <v>4154082</v>
      </c>
      <c r="G32" s="175">
        <f t="shared" si="28"/>
        <v>5052629</v>
      </c>
      <c r="H32" s="176">
        <f t="shared" si="28"/>
        <v>3066418.041790829</v>
      </c>
      <c r="I32" s="175">
        <f t="shared" si="28"/>
        <v>-1968072</v>
      </c>
      <c r="J32" s="175">
        <f t="shared" si="28"/>
        <v>-1523858</v>
      </c>
      <c r="K32" s="175">
        <f t="shared" si="28"/>
        <v>-2305781</v>
      </c>
      <c r="L32" s="177"/>
      <c r="M32" s="178">
        <f t="shared" ref="M32:W32" si="29">IFERROR(B32/B14,"")</f>
        <v>-0.5202498617670499</v>
      </c>
      <c r="N32" s="37">
        <f t="shared" si="29"/>
        <v>-0.14571401231565106</v>
      </c>
      <c r="O32" s="37">
        <f t="shared" si="29"/>
        <v>-0.14571403403085981</v>
      </c>
      <c r="P32" s="37">
        <f t="shared" si="29"/>
        <v>0.64204015803899417</v>
      </c>
      <c r="Q32" s="37">
        <f t="shared" si="29"/>
        <v>0.64204015747447341</v>
      </c>
      <c r="R32" s="37">
        <f t="shared" si="29"/>
        <v>0.26062428871760596</v>
      </c>
      <c r="S32" s="37">
        <f t="shared" si="29"/>
        <v>0.26062428871760618</v>
      </c>
      <c r="T32" s="37">
        <f t="shared" si="29"/>
        <v>-0.38914614612100934</v>
      </c>
      <c r="U32" s="37">
        <f t="shared" si="29"/>
        <v>-0.39371892618399912</v>
      </c>
      <c r="V32" s="37">
        <f t="shared" si="29"/>
        <v>-0.62114702755881124</v>
      </c>
      <c r="W32" s="37" t="str">
        <f t="shared" si="29"/>
        <v/>
      </c>
    </row>
    <row r="33" spans="1:23" ht="15.75" customHeight="1" x14ac:dyDescent="0.2">
      <c r="A33" s="137"/>
      <c r="B33" s="138"/>
      <c r="C33" s="138"/>
      <c r="D33" s="139"/>
      <c r="E33" s="138"/>
      <c r="F33" s="139"/>
      <c r="G33" s="138"/>
      <c r="H33" s="139">
        <f>IFERROR(G33/1.64773,0)</f>
        <v>0</v>
      </c>
      <c r="I33" s="138"/>
      <c r="J33" s="138"/>
      <c r="K33" s="138"/>
      <c r="L33" s="138"/>
      <c r="M33" s="138"/>
      <c r="N33" s="125"/>
    </row>
    <row r="34" spans="1:23" ht="15" customHeight="1" x14ac:dyDescent="0.2">
      <c r="A34" s="174" t="s">
        <v>678</v>
      </c>
      <c r="B34" s="175">
        <f t="shared" ref="B34:K34" si="30">IFERROR(B14+B21+B32,"")</f>
        <v>-5308835</v>
      </c>
      <c r="C34" s="175">
        <f t="shared" si="30"/>
        <v>6527090</v>
      </c>
      <c r="D34" s="176">
        <f t="shared" si="30"/>
        <v>4986622</v>
      </c>
      <c r="E34" s="175">
        <f t="shared" si="30"/>
        <v>-5587086</v>
      </c>
      <c r="F34" s="176">
        <f t="shared" si="30"/>
        <v>-3869742</v>
      </c>
      <c r="G34" s="175">
        <f t="shared" si="30"/>
        <v>13116341</v>
      </c>
      <c r="H34" s="176">
        <f t="shared" si="30"/>
        <v>7960248.9485534634</v>
      </c>
      <c r="I34" s="175">
        <f t="shared" si="30"/>
        <v>-176579</v>
      </c>
      <c r="J34" s="175">
        <f t="shared" si="30"/>
        <v>118785</v>
      </c>
      <c r="K34" s="175">
        <f t="shared" si="30"/>
        <v>-92566</v>
      </c>
      <c r="L34" s="177"/>
      <c r="M34" s="178">
        <f t="shared" ref="M34:W34" si="31">IFERROR(B34/B14,"")</f>
        <v>-0.13108081154803275</v>
      </c>
      <c r="N34" s="37">
        <f t="shared" si="31"/>
        <v>0.202520792147899</v>
      </c>
      <c r="O34" s="37">
        <f t="shared" si="31"/>
        <v>0.20252076441930639</v>
      </c>
      <c r="P34" s="37">
        <f t="shared" si="31"/>
        <v>-0.59809353794875597</v>
      </c>
      <c r="Q34" s="37">
        <f t="shared" si="31"/>
        <v>-0.59809357712861322</v>
      </c>
      <c r="R34" s="37">
        <f t="shared" si="31"/>
        <v>0.67656601023003526</v>
      </c>
      <c r="S34" s="37">
        <f t="shared" si="31"/>
        <v>0.67656601023003526</v>
      </c>
      <c r="T34" s="37">
        <f t="shared" si="31"/>
        <v>-3.4914900133684999E-2</v>
      </c>
      <c r="U34" s="37">
        <f t="shared" si="31"/>
        <v>3.0690459771688921E-2</v>
      </c>
      <c r="V34" s="37">
        <f t="shared" si="31"/>
        <v>-2.4936061036589734E-2</v>
      </c>
      <c r="W34" s="37" t="str">
        <f t="shared" si="31"/>
        <v/>
      </c>
    </row>
    <row r="35" spans="1:23" ht="27.75" customHeight="1" x14ac:dyDescent="0.2">
      <c r="A35" s="168" t="s">
        <v>679</v>
      </c>
      <c r="B35" s="169">
        <v>-2930992</v>
      </c>
      <c r="C35" s="169">
        <v>-2614695</v>
      </c>
      <c r="D35" s="171">
        <v>-1997597</v>
      </c>
      <c r="E35" s="169">
        <v>-7828408</v>
      </c>
      <c r="F35" s="171">
        <v>-5422132</v>
      </c>
      <c r="G35" s="169">
        <v>-438369</v>
      </c>
      <c r="H35" s="171">
        <f>IFERROR(G35/1.64773,0)</f>
        <v>-266044.19413374766</v>
      </c>
      <c r="I35" s="169">
        <v>0</v>
      </c>
      <c r="J35" s="169">
        <v>0</v>
      </c>
      <c r="K35" s="169">
        <v>0</v>
      </c>
      <c r="L35" s="144"/>
      <c r="M35" s="45">
        <f t="shared" ref="M35:W35" si="32">IFERROR(B35/B14,"")</f>
        <v>-7.2369325850359184E-2</v>
      </c>
      <c r="N35" s="10">
        <f t="shared" si="32"/>
        <v>-8.1128052872742801E-2</v>
      </c>
      <c r="O35" s="10">
        <f t="shared" si="32"/>
        <v>-8.1128040473433347E-2</v>
      </c>
      <c r="P35" s="10">
        <f t="shared" si="32"/>
        <v>-0.83802544604223828</v>
      </c>
      <c r="Q35" s="10">
        <f t="shared" si="32"/>
        <v>-0.83802546101097231</v>
      </c>
      <c r="R35" s="10">
        <f t="shared" si="32"/>
        <v>-2.2611913287290283E-2</v>
      </c>
      <c r="S35" s="10">
        <f t="shared" si="32"/>
        <v>-2.261191328729029E-2</v>
      </c>
      <c r="T35" s="10">
        <f t="shared" si="32"/>
        <v>0</v>
      </c>
      <c r="U35" s="10">
        <f t="shared" si="32"/>
        <v>0</v>
      </c>
      <c r="V35" s="10">
        <f t="shared" si="32"/>
        <v>0</v>
      </c>
      <c r="W35" s="10" t="str">
        <f t="shared" si="32"/>
        <v/>
      </c>
    </row>
    <row r="36" spans="1:23" ht="15" customHeight="1" x14ac:dyDescent="0.2">
      <c r="A36" s="168" t="s">
        <v>680</v>
      </c>
      <c r="B36" s="169">
        <v>12418859</v>
      </c>
      <c r="C36" s="169">
        <v>8506464</v>
      </c>
      <c r="D36" s="171">
        <v>6498842</v>
      </c>
      <c r="E36" s="169">
        <v>19914336</v>
      </c>
      <c r="F36" s="171">
        <v>13793119</v>
      </c>
      <c r="G36" s="169">
        <v>1115147</v>
      </c>
      <c r="H36" s="171">
        <v>676782</v>
      </c>
      <c r="I36" s="169">
        <v>588571</v>
      </c>
      <c r="J36" s="169">
        <v>469786</v>
      </c>
      <c r="K36" s="169">
        <v>562352</v>
      </c>
      <c r="L36" s="144"/>
      <c r="M36" s="45">
        <f t="shared" ref="M36:W36" si="33">IFERROR(B36/B14,"")</f>
        <v>0.30663490506308644</v>
      </c>
      <c r="N36" s="10">
        <f t="shared" si="33"/>
        <v>0.26393627599092179</v>
      </c>
      <c r="O36" s="10">
        <f t="shared" si="33"/>
        <v>0.26393627784105028</v>
      </c>
      <c r="P36" s="10">
        <f t="shared" si="33"/>
        <v>2.1318153459854163</v>
      </c>
      <c r="Q36" s="10">
        <f t="shared" si="33"/>
        <v>2.1318154756752881</v>
      </c>
      <c r="R36" s="10">
        <f t="shared" si="33"/>
        <v>5.7521419777817086E-2</v>
      </c>
      <c r="S36" s="10">
        <f t="shared" si="33"/>
        <v>5.7521781101922839E-2</v>
      </c>
      <c r="T36" s="10">
        <f t="shared" si="33"/>
        <v>0.11637792538514272</v>
      </c>
      <c r="U36" s="10">
        <f t="shared" si="33"/>
        <v>0.12137852703878983</v>
      </c>
      <c r="V36" s="10">
        <f t="shared" si="33"/>
        <v>0.15149022098878973</v>
      </c>
      <c r="W36" s="10" t="str">
        <f t="shared" si="33"/>
        <v/>
      </c>
    </row>
    <row r="37" spans="1:23" ht="15" customHeight="1" x14ac:dyDescent="0.2">
      <c r="A37" s="174" t="s">
        <v>681</v>
      </c>
      <c r="B37" s="175">
        <f t="shared" ref="B37:K37" si="34">IFERROR(B34+B35+B36,0)</f>
        <v>4179032</v>
      </c>
      <c r="C37" s="175">
        <f t="shared" si="34"/>
        <v>12418859</v>
      </c>
      <c r="D37" s="176">
        <f t="shared" si="34"/>
        <v>9487867</v>
      </c>
      <c r="E37" s="175">
        <f t="shared" si="34"/>
        <v>6498842</v>
      </c>
      <c r="F37" s="176">
        <f t="shared" si="34"/>
        <v>4501245</v>
      </c>
      <c r="G37" s="175">
        <f t="shared" si="34"/>
        <v>13793119</v>
      </c>
      <c r="H37" s="176">
        <f t="shared" si="34"/>
        <v>8370986.7544197161</v>
      </c>
      <c r="I37" s="175">
        <f t="shared" si="34"/>
        <v>411992</v>
      </c>
      <c r="J37" s="175">
        <f t="shared" si="34"/>
        <v>588571</v>
      </c>
      <c r="K37" s="175">
        <f t="shared" si="34"/>
        <v>469786</v>
      </c>
      <c r="L37" s="177"/>
      <c r="M37" s="178">
        <f t="shared" ref="M37:W37" si="35">IFERROR(B37/B14,"")</f>
        <v>0.10318476766469449</v>
      </c>
      <c r="N37" s="37">
        <f t="shared" si="35"/>
        <v>0.38532901526607799</v>
      </c>
      <c r="O37" s="37">
        <f t="shared" si="35"/>
        <v>0.38532900178692331</v>
      </c>
      <c r="P37" s="37">
        <f t="shared" si="35"/>
        <v>0.69569636199442231</v>
      </c>
      <c r="Q37" s="37">
        <f t="shared" si="35"/>
        <v>0.69569643753570254</v>
      </c>
      <c r="R37" s="37">
        <f t="shared" si="35"/>
        <v>0.71147551672056208</v>
      </c>
      <c r="S37" s="37">
        <f t="shared" si="35"/>
        <v>0.71147587804466783</v>
      </c>
      <c r="T37" s="37">
        <f t="shared" si="35"/>
        <v>8.146302525145771E-2</v>
      </c>
      <c r="U37" s="37">
        <f t="shared" si="35"/>
        <v>0.15206898681047876</v>
      </c>
      <c r="V37" s="37">
        <f t="shared" si="35"/>
        <v>0.12655415995220001</v>
      </c>
      <c r="W37" s="37" t="str">
        <f t="shared" si="35"/>
        <v/>
      </c>
    </row>
    <row r="40" spans="1:23" ht="21.75" customHeight="1" x14ac:dyDescent="0.2">
      <c r="L40" s="91"/>
      <c r="M40" s="254" t="s">
        <v>314</v>
      </c>
      <c r="N40" s="254"/>
      <c r="O40" s="254"/>
      <c r="P40" s="254"/>
      <c r="Q40" s="254"/>
      <c r="R40" s="254"/>
      <c r="S40" s="254"/>
      <c r="T40" s="254"/>
      <c r="U40" s="254"/>
      <c r="V40" s="254"/>
      <c r="W40" s="254"/>
    </row>
    <row r="41" spans="1:23" ht="15" customHeight="1" x14ac:dyDescent="0.2">
      <c r="L41" s="129"/>
      <c r="M41" s="2" t="s">
        <v>315</v>
      </c>
      <c r="N41" s="2" t="s">
        <v>316</v>
      </c>
      <c r="O41" s="2" t="s">
        <v>317</v>
      </c>
      <c r="P41" s="2" t="s">
        <v>318</v>
      </c>
      <c r="Q41" s="2" t="s">
        <v>319</v>
      </c>
      <c r="R41" s="2" t="s">
        <v>638</v>
      </c>
      <c r="S41" s="2" t="s">
        <v>639</v>
      </c>
    </row>
    <row r="42" spans="1:23" ht="15" customHeight="1" x14ac:dyDescent="0.2">
      <c r="K42" s="8" t="s">
        <v>659</v>
      </c>
      <c r="L42" s="10"/>
      <c r="M42" s="10">
        <f t="shared" ref="M42:M52" si="36">IFERROR((B4-C4)/ABS(C4),"-")</f>
        <v>1.4992647087763435</v>
      </c>
      <c r="N42" s="10">
        <f t="shared" ref="N42:N52" si="37">IFERROR((D4-E4)/ABS(E4),"-")</f>
        <v>-1.7440567857394749</v>
      </c>
      <c r="O42" s="10">
        <f t="shared" ref="O42:O52" si="38">IFERROR((F4-G4)/ABS(G4),"-")</f>
        <v>-0.78107960625281081</v>
      </c>
      <c r="P42" s="10">
        <f t="shared" ref="P42:P52" si="39">IFERROR((H4-I4)/ABS(I4),"-")</f>
        <v>3.2945893630258269</v>
      </c>
      <c r="Q42" s="10">
        <f t="shared" ref="Q42:Q52" si="40">IFERROR((I4-J4)/ABS(J4),"-")</f>
        <v>0.84090909090909094</v>
      </c>
      <c r="R42" s="10">
        <f t="shared" ref="R42:R52" si="41">IFERROR((J4-K4)/ABS(K4),"-")</f>
        <v>0.37024221453287198</v>
      </c>
      <c r="S42" s="10" t="str">
        <f t="shared" ref="S42:S52" si="42">IFERROR((K4-L4)/ABS(L4),"-")</f>
        <v>-</v>
      </c>
    </row>
    <row r="43" spans="1:23" ht="15" customHeight="1" x14ac:dyDescent="0.2">
      <c r="K43" s="8" t="s">
        <v>660</v>
      </c>
      <c r="L43" s="10"/>
      <c r="M43" s="10">
        <f t="shared" si="36"/>
        <v>2.2821835457366665E-3</v>
      </c>
      <c r="N43" s="10">
        <f t="shared" si="37"/>
        <v>-1.2246941594214631E-2</v>
      </c>
      <c r="O43" s="10">
        <f t="shared" si="38"/>
        <v>0.1610376706498623</v>
      </c>
      <c r="P43" s="10">
        <f t="shared" si="39"/>
        <v>0.88864415393842033</v>
      </c>
      <c r="Q43" s="10">
        <f t="shared" si="40"/>
        <v>0.3446601941747573</v>
      </c>
      <c r="R43" s="10">
        <f t="shared" si="41"/>
        <v>0.34201954397394135</v>
      </c>
      <c r="S43" s="10" t="str">
        <f t="shared" si="42"/>
        <v>-</v>
      </c>
    </row>
    <row r="44" spans="1:23" ht="15" customHeight="1" x14ac:dyDescent="0.2">
      <c r="K44" s="8" t="s">
        <v>661</v>
      </c>
      <c r="L44" s="10"/>
      <c r="M44" s="10">
        <f t="shared" si="36"/>
        <v>0.11471612358686895</v>
      </c>
      <c r="N44" s="10">
        <f t="shared" si="37"/>
        <v>-0.35928138455603376</v>
      </c>
      <c r="O44" s="10">
        <f t="shared" si="38"/>
        <v>0.12952107859579656</v>
      </c>
      <c r="P44" s="10">
        <f t="shared" si="39"/>
        <v>0.71719128291200174</v>
      </c>
      <c r="Q44" s="10">
        <f t="shared" si="40"/>
        <v>0.44966442953020136</v>
      </c>
      <c r="R44" s="10">
        <f t="shared" si="41"/>
        <v>0.40566037735849059</v>
      </c>
      <c r="S44" s="10" t="str">
        <f t="shared" si="42"/>
        <v>-</v>
      </c>
    </row>
    <row r="45" spans="1:23" ht="15" customHeight="1" x14ac:dyDescent="0.2">
      <c r="K45" s="8" t="s">
        <v>662</v>
      </c>
      <c r="L45" s="10"/>
      <c r="M45" s="10">
        <f t="shared" si="36"/>
        <v>-0.24952556700161957</v>
      </c>
      <c r="N45" s="10">
        <f t="shared" si="37"/>
        <v>6.4878430306280266E-2</v>
      </c>
      <c r="O45" s="10">
        <f t="shared" si="38"/>
        <v>-0.21557384488978165</v>
      </c>
      <c r="P45" s="10">
        <f t="shared" si="39"/>
        <v>2.3085602554042874</v>
      </c>
      <c r="Q45" s="10">
        <f t="shared" si="40"/>
        <v>0.4621212121212121</v>
      </c>
      <c r="R45" s="10">
        <f t="shared" si="41"/>
        <v>0.45054945054945056</v>
      </c>
      <c r="S45" s="10" t="str">
        <f t="shared" si="42"/>
        <v>-</v>
      </c>
    </row>
    <row r="46" spans="1:23" ht="15" customHeight="1" x14ac:dyDescent="0.2">
      <c r="K46" s="8" t="s">
        <v>663</v>
      </c>
      <c r="L46" s="10"/>
      <c r="M46" s="10">
        <f t="shared" si="36"/>
        <v>2.1558188786546676E-3</v>
      </c>
      <c r="N46" s="10">
        <f t="shared" si="37"/>
        <v>0.66862503237529514</v>
      </c>
      <c r="O46" s="10">
        <f t="shared" si="38"/>
        <v>0.22326033809952553</v>
      </c>
      <c r="P46" s="10">
        <f t="shared" si="39"/>
        <v>2.5259874979148345</v>
      </c>
      <c r="Q46" s="10">
        <f t="shared" si="40"/>
        <v>0.36231884057971014</v>
      </c>
      <c r="R46" s="10">
        <f t="shared" si="41"/>
        <v>0.49074074074074076</v>
      </c>
      <c r="S46" s="10" t="str">
        <f t="shared" si="42"/>
        <v>-</v>
      </c>
    </row>
    <row r="47" spans="1:23" ht="15" customHeight="1" x14ac:dyDescent="0.2">
      <c r="K47" s="8" t="s">
        <v>664</v>
      </c>
      <c r="L47" s="10"/>
      <c r="M47" s="10">
        <f t="shared" si="36"/>
        <v>0.21149737368337235</v>
      </c>
      <c r="N47" s="10">
        <f t="shared" si="37"/>
        <v>2.3277984634413962E-5</v>
      </c>
      <c r="O47" s="10">
        <f t="shared" si="38"/>
        <v>-2.927778388919446</v>
      </c>
      <c r="P47" s="10">
        <f t="shared" si="39"/>
        <v>-2.6122928716072016</v>
      </c>
      <c r="Q47" s="10">
        <f t="shared" si="40"/>
        <v>-0.35483870967741937</v>
      </c>
      <c r="R47" s="10">
        <f t="shared" si="41"/>
        <v>-0.29166666666666669</v>
      </c>
      <c r="S47" s="10" t="str">
        <f t="shared" si="42"/>
        <v>-</v>
      </c>
    </row>
    <row r="48" spans="1:23" ht="15" customHeight="1" x14ac:dyDescent="0.2">
      <c r="K48" s="8" t="s">
        <v>497</v>
      </c>
      <c r="L48" s="10"/>
      <c r="M48" s="10">
        <f t="shared" si="36"/>
        <v>0.83754993990667814</v>
      </c>
      <c r="N48" s="10">
        <f t="shared" si="37"/>
        <v>0.22053835790349754</v>
      </c>
      <c r="O48" s="10">
        <f t="shared" si="38"/>
        <v>-0.44381205024399417</v>
      </c>
      <c r="P48" s="10">
        <f t="shared" si="39"/>
        <v>-2.4527706531991917</v>
      </c>
      <c r="Q48" s="10">
        <f t="shared" si="40"/>
        <v>-0.38207547169811323</v>
      </c>
      <c r="R48" s="10">
        <f t="shared" si="41"/>
        <v>-0.33333333333333331</v>
      </c>
      <c r="S48" s="10" t="str">
        <f t="shared" si="42"/>
        <v>-</v>
      </c>
    </row>
    <row r="49" spans="11:19" ht="15" customHeight="1" x14ac:dyDescent="0.2">
      <c r="K49" s="8" t="s">
        <v>498</v>
      </c>
      <c r="L49" s="10"/>
      <c r="M49" s="10">
        <f t="shared" si="36"/>
        <v>-1.0115191031174009</v>
      </c>
      <c r="N49" s="10">
        <f t="shared" si="37"/>
        <v>0.75452473359723582</v>
      </c>
      <c r="O49" s="10">
        <f t="shared" si="38"/>
        <v>-1.6613058768939761</v>
      </c>
      <c r="P49" s="10">
        <f t="shared" si="39"/>
        <v>-0.16189956106525066</v>
      </c>
      <c r="Q49" s="10">
        <f t="shared" si="40"/>
        <v>-0.50731707317073171</v>
      </c>
      <c r="R49" s="10">
        <f t="shared" si="41"/>
        <v>-0.43356643356643354</v>
      </c>
      <c r="S49" s="10" t="str">
        <f t="shared" si="42"/>
        <v>-</v>
      </c>
    </row>
    <row r="50" spans="11:19" ht="15" customHeight="1" x14ac:dyDescent="0.2">
      <c r="K50" s="8" t="s">
        <v>665</v>
      </c>
      <c r="L50" s="10"/>
      <c r="M50" s="10">
        <f t="shared" si="36"/>
        <v>1.1402522477771798E-2</v>
      </c>
      <c r="N50" s="10">
        <f t="shared" si="37"/>
        <v>0.20003501351827893</v>
      </c>
      <c r="O50" s="10">
        <f t="shared" si="38"/>
        <v>-0.20750118750497654</v>
      </c>
      <c r="P50" s="10">
        <f t="shared" si="39"/>
        <v>0.70261159121503058</v>
      </c>
      <c r="Q50" s="10">
        <f t="shared" si="40"/>
        <v>0.36879100281162136</v>
      </c>
      <c r="R50" s="10">
        <f t="shared" si="41"/>
        <v>0.36445012787723785</v>
      </c>
      <c r="S50" s="10" t="str">
        <f t="shared" si="42"/>
        <v>-</v>
      </c>
    </row>
    <row r="51" spans="11:19" ht="15" customHeight="1" x14ac:dyDescent="0.2">
      <c r="K51" s="8" t="s">
        <v>666</v>
      </c>
      <c r="L51" s="10"/>
      <c r="M51" s="10">
        <f t="shared" si="36"/>
        <v>-0.30355020297020563</v>
      </c>
      <c r="N51" s="10">
        <f t="shared" si="37"/>
        <v>0.38790303706664875</v>
      </c>
      <c r="O51" s="10">
        <f t="shared" si="38"/>
        <v>0.3320684471500327</v>
      </c>
      <c r="P51" s="10">
        <f t="shared" si="39"/>
        <v>-1.8181267501647371</v>
      </c>
      <c r="Q51" s="10">
        <f t="shared" si="40"/>
        <v>-0.62935625240424575</v>
      </c>
      <c r="R51" s="10">
        <f t="shared" si="41"/>
        <v>-1.0894065886369559</v>
      </c>
      <c r="S51" s="10" t="str">
        <f t="shared" si="42"/>
        <v>-</v>
      </c>
    </row>
    <row r="52" spans="11:19" ht="15" customHeight="1" x14ac:dyDescent="0.2">
      <c r="K52" s="39" t="s">
        <v>499</v>
      </c>
      <c r="L52" s="59"/>
      <c r="M52" s="37">
        <f t="shared" si="36"/>
        <v>0.25663780901525612</v>
      </c>
      <c r="N52" s="37">
        <f t="shared" si="37"/>
        <v>1.6358497122301234</v>
      </c>
      <c r="O52" s="37">
        <f t="shared" si="38"/>
        <v>-0.66625839579516599</v>
      </c>
      <c r="P52" s="37">
        <f t="shared" si="39"/>
        <v>1.3264205508345555</v>
      </c>
      <c r="Q52" s="37">
        <f t="shared" si="40"/>
        <v>0.3066823996665996</v>
      </c>
      <c r="R52" s="37">
        <f t="shared" si="41"/>
        <v>4.2640432699897146E-2</v>
      </c>
      <c r="S52" s="37" t="str">
        <f t="shared" si="42"/>
        <v>-</v>
      </c>
    </row>
    <row r="53" spans="11:19" ht="15" customHeight="1" x14ac:dyDescent="0.2">
      <c r="K53" s="8" t="s">
        <v>668</v>
      </c>
      <c r="L53" s="10"/>
      <c r="M53" s="10">
        <f>IFERROR((B17-C17)/ABS(C17),"-")</f>
        <v>-9.6645879462206999E-2</v>
      </c>
      <c r="N53" s="10">
        <f>IFERROR((D17-E17)/ABS(E17),"-")</f>
        <v>0.32923487914640154</v>
      </c>
      <c r="O53" s="10">
        <f>IFERROR((F17-G17)/ABS(G17),"-")</f>
        <v>-0.88177733739219399</v>
      </c>
      <c r="P53" s="10">
        <f t="shared" ref="P53:S57" si="43">IFERROR((H17-I17)/ABS(I17),"-")</f>
        <v>9.9806489582098187E-2</v>
      </c>
      <c r="Q53" s="10">
        <f t="shared" si="43"/>
        <v>-1.430467568726445</v>
      </c>
      <c r="R53" s="10">
        <f t="shared" si="43"/>
        <v>-0.23141145504567487</v>
      </c>
      <c r="S53" s="10" t="str">
        <f t="shared" si="43"/>
        <v>-</v>
      </c>
    </row>
    <row r="54" spans="11:19" ht="15" customHeight="1" x14ac:dyDescent="0.2">
      <c r="K54" s="8" t="s">
        <v>669</v>
      </c>
      <c r="L54" s="10"/>
      <c r="M54" s="10">
        <f>IFERROR((B18-C18)/ABS(C18),"-")</f>
        <v>-0.1113567748681131</v>
      </c>
      <c r="N54" s="10">
        <f>IFERROR((D18-E18)/ABS(E18),"-")</f>
        <v>0.21851500607301447</v>
      </c>
      <c r="O54" s="10">
        <f>IFERROR((F18-G18)/ABS(G18),"-")</f>
        <v>-0.38227869264814679</v>
      </c>
      <c r="P54" s="10">
        <f t="shared" si="43"/>
        <v>-1.3577400842905858</v>
      </c>
      <c r="Q54" s="10">
        <f t="shared" si="43"/>
        <v>-0.49015277679175784</v>
      </c>
      <c r="R54" s="10">
        <f t="shared" si="43"/>
        <v>-0.34744595585335863</v>
      </c>
      <c r="S54" s="10" t="str">
        <f t="shared" si="43"/>
        <v>-</v>
      </c>
    </row>
    <row r="55" spans="11:19" ht="15" customHeight="1" x14ac:dyDescent="0.2">
      <c r="K55" s="8" t="s">
        <v>509</v>
      </c>
      <c r="L55" s="10"/>
      <c r="M55" s="10">
        <f>IFERROR((B19-C19)/ABS(C19),"-")</f>
        <v>-0.30182039597691968</v>
      </c>
      <c r="N55" s="10">
        <f>IFERROR((D19-E19)/ABS(E19),"-")</f>
        <v>-0.2275896322892228</v>
      </c>
      <c r="O55" s="10">
        <f>IFERROR((F19-G19)/ABS(G19),"-")</f>
        <v>3.9752246593469174</v>
      </c>
      <c r="P55" s="10">
        <f t="shared" si="43"/>
        <v>1.598597840269008</v>
      </c>
      <c r="Q55" s="10">
        <f t="shared" si="43"/>
        <v>1.2719310752184452</v>
      </c>
      <c r="R55" s="10">
        <f t="shared" si="43"/>
        <v>-0.5989003807002925</v>
      </c>
      <c r="S55" s="10" t="str">
        <f t="shared" si="43"/>
        <v>-</v>
      </c>
    </row>
    <row r="56" spans="11:19" ht="15" customHeight="1" x14ac:dyDescent="0.2">
      <c r="K56" s="8" t="s">
        <v>503</v>
      </c>
      <c r="L56" s="10"/>
      <c r="M56" s="10" t="str">
        <f>IFERROR((B20-C20)/ABS(C20),"-")</f>
        <v>-</v>
      </c>
      <c r="N56" s="10" t="str">
        <f>IFERROR((D20-E20)/ABS(E20),"-")</f>
        <v>-</v>
      </c>
      <c r="O56" s="10" t="str">
        <f>IFERROR((F20-G20)/ABS(G20),"-")</f>
        <v>-</v>
      </c>
      <c r="P56" s="10">
        <f t="shared" si="43"/>
        <v>-1</v>
      </c>
      <c r="Q56" s="10">
        <f t="shared" si="43"/>
        <v>2.0383104853649501</v>
      </c>
      <c r="R56" s="10" t="str">
        <f t="shared" si="43"/>
        <v>-</v>
      </c>
      <c r="S56" s="10" t="str">
        <f t="shared" si="43"/>
        <v>-</v>
      </c>
    </row>
    <row r="57" spans="11:19" ht="15" customHeight="1" x14ac:dyDescent="0.2">
      <c r="K57" s="39" t="s">
        <v>504</v>
      </c>
      <c r="L57" s="59"/>
      <c r="M57" s="37">
        <f>IFERROR((B21-C21)/ABS(C21),"-")</f>
        <v>-0.17771441566421384</v>
      </c>
      <c r="N57" s="37">
        <f>IFERROR((D21-E21)/ABS(E21),"-")</f>
        <v>0.23310152334937592</v>
      </c>
      <c r="O57" s="37">
        <f>IFERROR((F21-G21)/ABS(G21),"-")</f>
        <v>-0.28005347027318994</v>
      </c>
      <c r="P57" s="37">
        <f t="shared" si="43"/>
        <v>-1.104104872704736</v>
      </c>
      <c r="Q57" s="37">
        <f t="shared" si="43"/>
        <v>-0.46599795850394427</v>
      </c>
      <c r="R57" s="37">
        <f t="shared" si="43"/>
        <v>-0.48625642879968833</v>
      </c>
      <c r="S57" s="37" t="str">
        <f t="shared" si="43"/>
        <v>-</v>
      </c>
    </row>
    <row r="58" spans="11:19" ht="15" customHeight="1" x14ac:dyDescent="0.2">
      <c r="K58" s="8" t="s">
        <v>671</v>
      </c>
      <c r="L58" s="10"/>
      <c r="M58" s="10">
        <f t="shared" ref="M58:M66" si="44">IFERROR((B24-C24)/ABS(C24),"-")</f>
        <v>-0.25905673668792389</v>
      </c>
      <c r="N58" s="10">
        <f t="shared" ref="N58:N66" si="45">IFERROR((D24-E24)/ABS(E24),"-")</f>
        <v>-0.16280962806246929</v>
      </c>
      <c r="O58" s="10">
        <f t="shared" ref="O58:O66" si="46">IFERROR((F24-G24)/ABS(G24),"-")</f>
        <v>-0.49261148437466296</v>
      </c>
      <c r="P58" s="10">
        <f t="shared" ref="P58:P66" si="47">IFERROR((H24-I24)/ABS(I24),"-")</f>
        <v>1.6376021414354338</v>
      </c>
      <c r="Q58" s="10">
        <f t="shared" ref="Q58:Q66" si="48">IFERROR((I24-J24)/ABS(J24),"-")</f>
        <v>0.17081852682875398</v>
      </c>
      <c r="R58" s="10">
        <f t="shared" ref="R58:R66" si="49">IFERROR((J24-K24)/ABS(K24),"-")</f>
        <v>-0.34584845249510843</v>
      </c>
      <c r="S58" s="10" t="str">
        <f t="shared" ref="S58:S66" si="50">IFERROR((K24-L24)/ABS(L24),"-")</f>
        <v>-</v>
      </c>
    </row>
    <row r="59" spans="11:19" ht="15" customHeight="1" x14ac:dyDescent="0.2">
      <c r="K59" s="8" t="s">
        <v>672</v>
      </c>
      <c r="L59" s="10"/>
      <c r="M59" s="10" t="str">
        <f t="shared" si="44"/>
        <v>-</v>
      </c>
      <c r="N59" s="10" t="str">
        <f t="shared" si="45"/>
        <v>-</v>
      </c>
      <c r="O59" s="10" t="str">
        <f t="shared" si="46"/>
        <v>-</v>
      </c>
      <c r="P59" s="10" t="str">
        <f t="shared" si="47"/>
        <v>-</v>
      </c>
      <c r="Q59" s="10" t="str">
        <f t="shared" si="48"/>
        <v>-</v>
      </c>
      <c r="R59" s="10" t="str">
        <f t="shared" si="49"/>
        <v>-</v>
      </c>
      <c r="S59" s="10" t="str">
        <f t="shared" si="50"/>
        <v>-</v>
      </c>
    </row>
    <row r="60" spans="11:19" ht="15" customHeight="1" x14ac:dyDescent="0.2">
      <c r="K60" s="39" t="s">
        <v>673</v>
      </c>
      <c r="L60" s="59"/>
      <c r="M60" s="37">
        <f t="shared" si="44"/>
        <v>-0.25905673668792389</v>
      </c>
      <c r="N60" s="37">
        <f t="shared" si="45"/>
        <v>-0.16280962806246929</v>
      </c>
      <c r="O60" s="37">
        <f t="shared" si="46"/>
        <v>-0.49261148437466296</v>
      </c>
      <c r="P60" s="37">
        <f t="shared" si="47"/>
        <v>1.6376021414354338</v>
      </c>
      <c r="Q60" s="37">
        <f t="shared" si="48"/>
        <v>0.17081852682875398</v>
      </c>
      <c r="R60" s="37">
        <f t="shared" si="49"/>
        <v>-0.34584845249510843</v>
      </c>
      <c r="S60" s="37" t="str">
        <f t="shared" si="50"/>
        <v>-</v>
      </c>
    </row>
    <row r="61" spans="11:19" ht="15" customHeight="1" x14ac:dyDescent="0.2">
      <c r="K61" s="8" t="s">
        <v>674</v>
      </c>
      <c r="L61" s="10"/>
      <c r="M61" s="10">
        <f t="shared" si="44"/>
        <v>4.5257698873767557E-2</v>
      </c>
      <c r="N61" s="10">
        <f t="shared" si="45"/>
        <v>0.28224715703383352</v>
      </c>
      <c r="O61" s="10">
        <f t="shared" si="46"/>
        <v>0.62660389250560333</v>
      </c>
      <c r="P61" s="10">
        <f t="shared" si="47"/>
        <v>-1.1723521405519375</v>
      </c>
      <c r="Q61" s="10">
        <f t="shared" si="48"/>
        <v>-0.15446615908255271</v>
      </c>
      <c r="R61" s="10">
        <f t="shared" si="49"/>
        <v>0.37276209001902982</v>
      </c>
      <c r="S61" s="10" t="str">
        <f t="shared" si="50"/>
        <v>-</v>
      </c>
    </row>
    <row r="62" spans="11:19" ht="15" customHeight="1" x14ac:dyDescent="0.2">
      <c r="K62" s="8" t="s">
        <v>675</v>
      </c>
      <c r="L62" s="10"/>
      <c r="M62" s="10">
        <f t="shared" si="44"/>
        <v>-0.1936683888125913</v>
      </c>
      <c r="N62" s="10">
        <f t="shared" si="45"/>
        <v>-5.4901045977876442E-2</v>
      </c>
      <c r="O62" s="10">
        <f t="shared" si="46"/>
        <v>-0.13120862860190791</v>
      </c>
      <c r="P62" s="10">
        <f t="shared" si="47"/>
        <v>-0.66105013426048842</v>
      </c>
      <c r="Q62" s="10">
        <f t="shared" si="48"/>
        <v>-0.34601070332237649</v>
      </c>
      <c r="R62" s="10">
        <f t="shared" si="49"/>
        <v>-0.25790798601223358</v>
      </c>
      <c r="S62" s="10" t="str">
        <f t="shared" si="50"/>
        <v>-</v>
      </c>
    </row>
    <row r="63" spans="11:19" ht="15" customHeight="1" x14ac:dyDescent="0.2">
      <c r="K63" s="8" t="s">
        <v>676</v>
      </c>
      <c r="L63" s="10"/>
      <c r="M63" s="10">
        <f t="shared" si="44"/>
        <v>-0.13690667133611922</v>
      </c>
      <c r="N63" s="10">
        <f t="shared" si="45"/>
        <v>-1.1308015010488093</v>
      </c>
      <c r="O63" s="10">
        <f t="shared" si="46"/>
        <v>2.5357452233914595E-2</v>
      </c>
      <c r="P63" s="10">
        <f t="shared" si="47"/>
        <v>-1.753910528696355</v>
      </c>
      <c r="Q63" s="10">
        <f t="shared" si="48"/>
        <v>-0.23548911003894854</v>
      </c>
      <c r="R63" s="10">
        <f t="shared" si="49"/>
        <v>0.26210916780536814</v>
      </c>
      <c r="S63" s="10" t="str">
        <f t="shared" si="50"/>
        <v>-</v>
      </c>
    </row>
    <row r="64" spans="11:19" ht="15" customHeight="1" x14ac:dyDescent="0.2">
      <c r="K64" s="8" t="s">
        <v>510</v>
      </c>
      <c r="L64" s="10"/>
      <c r="M64" s="10">
        <f t="shared" si="44"/>
        <v>0.23145998396254724</v>
      </c>
      <c r="N64" s="10">
        <f t="shared" si="45"/>
        <v>0.30225787776031759</v>
      </c>
      <c r="O64" s="10">
        <f t="shared" si="46"/>
        <v>-0.23238023067659827</v>
      </c>
      <c r="P64" s="10">
        <f t="shared" si="47"/>
        <v>-0.72772798413149309</v>
      </c>
      <c r="Q64" s="10">
        <f t="shared" si="48"/>
        <v>-0.60000056446070715</v>
      </c>
      <c r="R64" s="10">
        <f t="shared" si="49"/>
        <v>-0.50000105836457276</v>
      </c>
      <c r="S64" s="10" t="str">
        <f t="shared" si="50"/>
        <v>-</v>
      </c>
    </row>
    <row r="65" spans="11:19" ht="15" customHeight="1" x14ac:dyDescent="0.2">
      <c r="K65" s="8" t="s">
        <v>677</v>
      </c>
      <c r="L65" s="10"/>
      <c r="M65" s="10" t="str">
        <f t="shared" si="44"/>
        <v>-</v>
      </c>
      <c r="N65" s="10" t="str">
        <f t="shared" si="45"/>
        <v>-</v>
      </c>
      <c r="O65" s="10" t="str">
        <f t="shared" si="46"/>
        <v>-</v>
      </c>
      <c r="P65" s="10" t="str">
        <f t="shared" si="47"/>
        <v>-</v>
      </c>
      <c r="Q65" s="10" t="str">
        <f t="shared" si="48"/>
        <v>-</v>
      </c>
      <c r="R65" s="10" t="str">
        <f t="shared" si="49"/>
        <v>-</v>
      </c>
      <c r="S65" s="10" t="str">
        <f t="shared" si="50"/>
        <v>-</v>
      </c>
    </row>
    <row r="66" spans="11:19" ht="15" customHeight="1" x14ac:dyDescent="0.2">
      <c r="K66" s="39" t="s">
        <v>511</v>
      </c>
      <c r="L66" s="59"/>
      <c r="M66" s="37">
        <f t="shared" si="44"/>
        <v>-3.4866354034313756</v>
      </c>
      <c r="N66" s="37">
        <f t="shared" si="45"/>
        <v>-1.5982184912564381</v>
      </c>
      <c r="O66" s="37">
        <f t="shared" si="46"/>
        <v>-0.17783751785456642</v>
      </c>
      <c r="P66" s="37">
        <f t="shared" si="47"/>
        <v>2.5580822458684587</v>
      </c>
      <c r="Q66" s="37">
        <f t="shared" si="48"/>
        <v>-0.29150616396015899</v>
      </c>
      <c r="R66" s="37">
        <f t="shared" si="49"/>
        <v>0.33911416565580166</v>
      </c>
      <c r="S66" s="37" t="str">
        <f t="shared" si="50"/>
        <v>-</v>
      </c>
    </row>
    <row r="67" spans="11:19" ht="15" customHeight="1" x14ac:dyDescent="0.2">
      <c r="K67" s="39" t="s">
        <v>678</v>
      </c>
      <c r="L67" s="59"/>
      <c r="M67" s="37">
        <f>IFERROR((B34-C34)/ABS(C34),"-")</f>
        <v>-1.8133540367912806</v>
      </c>
      <c r="N67" s="37">
        <f>IFERROR((D34-E34)/ABS(E34),"-")</f>
        <v>1.8925264440175076</v>
      </c>
      <c r="O67" s="37">
        <f>IFERROR((F34-G34)/ABS(G34),"-")</f>
        <v>-1.2950321282436923</v>
      </c>
      <c r="P67" s="37">
        <f t="shared" ref="P67:S70" si="51">IFERROR((H34-I34)/ABS(I34),"-")</f>
        <v>46.080382993184145</v>
      </c>
      <c r="Q67" s="37">
        <f t="shared" si="51"/>
        <v>-2.4865429136675505</v>
      </c>
      <c r="R67" s="37">
        <f t="shared" si="51"/>
        <v>2.283246548408703</v>
      </c>
      <c r="S67" s="37" t="str">
        <f t="shared" si="51"/>
        <v>-</v>
      </c>
    </row>
    <row r="68" spans="11:19" ht="15" customHeight="1" x14ac:dyDescent="0.2">
      <c r="K68" s="8" t="s">
        <v>679</v>
      </c>
      <c r="L68" s="10"/>
      <c r="M68" s="10">
        <f>IFERROR((B35-C35)/ABS(C35),"-")</f>
        <v>-0.1209689849102859</v>
      </c>
      <c r="N68" s="10">
        <f>IFERROR((D35-E35)/ABS(E35),"-")</f>
        <v>0.74482717303441515</v>
      </c>
      <c r="O68" s="10">
        <f>IFERROR((F35-G35)/ABS(G35),"-")</f>
        <v>-11.368876448836483</v>
      </c>
      <c r="P68" s="10" t="str">
        <f t="shared" si="51"/>
        <v>-</v>
      </c>
      <c r="Q68" s="10" t="str">
        <f t="shared" si="51"/>
        <v>-</v>
      </c>
      <c r="R68" s="10" t="str">
        <f t="shared" si="51"/>
        <v>-</v>
      </c>
      <c r="S68" s="10" t="str">
        <f t="shared" si="51"/>
        <v>-</v>
      </c>
    </row>
    <row r="69" spans="11:19" ht="15" customHeight="1" x14ac:dyDescent="0.2">
      <c r="K69" s="8" t="s">
        <v>680</v>
      </c>
      <c r="L69" s="10"/>
      <c r="M69" s="10">
        <f>IFERROR((B36-C36)/ABS(C36),"-")</f>
        <v>0.45993199994733419</v>
      </c>
      <c r="N69" s="10">
        <f>IFERROR((D36-E36)/ABS(E36),"-")</f>
        <v>-0.67366012103039741</v>
      </c>
      <c r="O69" s="10">
        <f>IFERROR((F36-G36)/ABS(G36),"-")</f>
        <v>11.368879618561499</v>
      </c>
      <c r="P69" s="10">
        <f t="shared" si="51"/>
        <v>0.14987316738337431</v>
      </c>
      <c r="Q69" s="10">
        <f t="shared" si="51"/>
        <v>0.25284916962191295</v>
      </c>
      <c r="R69" s="10">
        <f t="shared" si="51"/>
        <v>-0.16460508720516687</v>
      </c>
      <c r="S69" s="10" t="str">
        <f t="shared" si="51"/>
        <v>-</v>
      </c>
    </row>
    <row r="70" spans="11:19" ht="15" customHeight="1" x14ac:dyDescent="0.2">
      <c r="K70" s="39" t="s">
        <v>681</v>
      </c>
      <c r="L70" s="59"/>
      <c r="M70" s="37">
        <f>IFERROR((B37-C37)/ABS(C37),"-")</f>
        <v>-0.66349307935616308</v>
      </c>
      <c r="N70" s="37">
        <f>IFERROR((D37-E37)/ABS(E37),"-")</f>
        <v>0.45993193864383841</v>
      </c>
      <c r="O70" s="37">
        <f>IFERROR((F37-G37)/ABS(G37),"-")</f>
        <v>-0.67366010544823107</v>
      </c>
      <c r="P70" s="37">
        <f t="shared" si="51"/>
        <v>19.318323546136128</v>
      </c>
      <c r="Q70" s="37">
        <f t="shared" si="51"/>
        <v>-0.30001308253379794</v>
      </c>
      <c r="R70" s="37">
        <f t="shared" si="51"/>
        <v>0.25284916962191295</v>
      </c>
      <c r="S70" s="37" t="str">
        <f t="shared" si="51"/>
        <v>-</v>
      </c>
    </row>
  </sheetData>
  <mergeCells count="3">
    <mergeCell ref="A1:K1"/>
    <mergeCell ref="M1:W1"/>
    <mergeCell ref="M40:W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7" customWidth="1"/>
    <col min="2" max="2" width="53" customWidth="1"/>
    <col min="3" max="3" width="27" customWidth="1"/>
    <col min="4" max="11" width="15" customWidth="1"/>
    <col min="12" max="12" width="35" customWidth="1"/>
    <col min="13" max="15" width="3" customWidth="1"/>
  </cols>
  <sheetData>
    <row r="1" spans="1:15" ht="21.75" customHeight="1" x14ac:dyDescent="0.2">
      <c r="A1" s="261" t="s">
        <v>682</v>
      </c>
      <c r="B1" s="261"/>
      <c r="C1" s="261"/>
      <c r="D1" s="261"/>
      <c r="E1" s="261"/>
      <c r="F1" s="261"/>
      <c r="G1" s="261"/>
      <c r="H1" s="261"/>
      <c r="I1" s="261"/>
      <c r="J1" s="261"/>
      <c r="K1" s="4"/>
      <c r="L1" s="5"/>
      <c r="M1" s="5"/>
      <c r="N1" s="5"/>
    </row>
    <row r="2" spans="1:15" ht="27.75" customHeight="1" x14ac:dyDescent="0.2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3"/>
    </row>
    <row r="3" spans="1:15" ht="30" customHeight="1" x14ac:dyDescent="0.2">
      <c r="A3" s="184" t="s">
        <v>149</v>
      </c>
      <c r="B3" s="184" t="s">
        <v>516</v>
      </c>
      <c r="C3" s="184" t="s">
        <v>151</v>
      </c>
      <c r="D3" s="185">
        <v>2025</v>
      </c>
      <c r="E3" s="185">
        <v>2024</v>
      </c>
      <c r="F3" s="185">
        <v>2023</v>
      </c>
      <c r="G3" s="185">
        <v>2022</v>
      </c>
      <c r="H3" s="185">
        <v>2021</v>
      </c>
      <c r="I3" s="185">
        <v>2020</v>
      </c>
      <c r="J3" s="186">
        <v>2019</v>
      </c>
      <c r="K3" s="185">
        <v>2018</v>
      </c>
      <c r="L3" s="25"/>
      <c r="M3" s="25"/>
      <c r="N3" s="25"/>
      <c r="O3" s="7"/>
    </row>
    <row r="4" spans="1:15" ht="15" customHeight="1" x14ac:dyDescent="0.2">
      <c r="A4" s="260" t="s">
        <v>517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</row>
    <row r="5" spans="1:15" ht="15" customHeight="1" x14ac:dyDescent="0.2">
      <c r="A5" s="187" t="s">
        <v>518</v>
      </c>
      <c r="B5" s="188" t="s">
        <v>519</v>
      </c>
      <c r="C5" s="189" t="s">
        <v>520</v>
      </c>
      <c r="D5" s="190">
        <f>IFERROR(ENJSA_BS!B13/(ENJSA_BS!B39),"-")</f>
        <v>0.78947704762074111</v>
      </c>
      <c r="E5" s="190">
        <f>IFERROR(ENJSA_BS!D13/(ENJSA_BS!D39),"-")</f>
        <v>0.76043720099947176</v>
      </c>
      <c r="F5" s="190">
        <f>IFERROR(ENJSA_BS!F13/(ENJSA_BS!F39),"-")</f>
        <v>0.84755436907092296</v>
      </c>
      <c r="G5" s="190">
        <f>IFERROR(ENJSA_BS!G13/(ENJSA_BS!G39),"-")</f>
        <v>0.71445179071790965</v>
      </c>
      <c r="H5" s="190">
        <f>IFERROR(ENJSA_BS!I13/(ENJSA_BS!I39),"-")</f>
        <v>0.88677601624075209</v>
      </c>
      <c r="I5" s="190">
        <f>IFERROR(ENJSA_BS!J13/(ENJSA_BS!J39),"-")</f>
        <v>0.81166488287938254</v>
      </c>
      <c r="J5" s="190">
        <f>IFERROR(ENJSA_BS!K13/(ENJSA_BS!K39),"-")</f>
        <v>0.78867692482293028</v>
      </c>
      <c r="K5" s="190" t="str">
        <f>IFERROR(ENJSA_BS!L13/(ENJSA_BS!L39),"-")</f>
        <v>-</v>
      </c>
    </row>
    <row r="6" spans="1:15" ht="15" customHeight="1" x14ac:dyDescent="0.2">
      <c r="A6" s="187" t="s">
        <v>521</v>
      </c>
      <c r="B6" s="188" t="s">
        <v>522</v>
      </c>
      <c r="C6" s="189" t="s">
        <v>523</v>
      </c>
      <c r="D6" s="190">
        <f>IFERROR((ENJSA_BS!B13-ENJSA_BS!B10)/ENJSA_BS!B39,"-")</f>
        <v>0.74749547594257026</v>
      </c>
      <c r="E6" s="190">
        <f>IFERROR((ENJSA_BS!D13-ENJSA_BS!D10)/ENJSA_BS!D39,"-")</f>
        <v>0.70341077200819535</v>
      </c>
      <c r="F6" s="190">
        <f>IFERROR((ENJSA_BS!F13-ENJSA_BS!F10)/ENJSA_BS!F39,"-")</f>
        <v>0.76534045824063013</v>
      </c>
      <c r="G6" s="190">
        <f>IFERROR((ENJSA_BS!G13-ENJSA_BS!G10)/ENJSA_BS!G39,"-")</f>
        <v>0.65426633189675965</v>
      </c>
      <c r="H6" s="190">
        <f>IFERROR((ENJSA_BS!I13-ENJSA_BS!I10)/ENJSA_BS!I39,"-")</f>
        <v>0.85576637001961486</v>
      </c>
      <c r="I6" s="190">
        <f>IFERROR((ENJSA_BS!J13-ENJSA_BS!J10)/ENJSA_BS!J39,"-")</f>
        <v>0.79120795983401726</v>
      </c>
      <c r="J6" s="190">
        <f>IFERROR((ENJSA_BS!K13-ENJSA_BS!K10)/ENJSA_BS!K39,"-")</f>
        <v>0.77067763632087904</v>
      </c>
      <c r="K6" s="190" t="str">
        <f>IFERROR((ENJSA_BS!L13-ENJSA_BS!L10)/ENJSA_BS!L39,"-")</f>
        <v>-</v>
      </c>
    </row>
    <row r="7" spans="1:15" ht="15" customHeight="1" x14ac:dyDescent="0.2">
      <c r="A7" s="187" t="s">
        <v>524</v>
      </c>
      <c r="B7" s="188" t="s">
        <v>683</v>
      </c>
      <c r="C7" s="189" t="s">
        <v>526</v>
      </c>
      <c r="D7" s="190">
        <f>IFERROR((ENJSA_BS!B5+ENJSA_BS!B6)/ENJSA_BS!B39,"-")</f>
        <v>0.17839988638306953</v>
      </c>
      <c r="E7" s="190">
        <f>IFERROR((ENJSA_BS!D5+ENJSA_BS!D6)/ENJSA_BS!D39,"-")</f>
        <v>0.26870497466265131</v>
      </c>
      <c r="F7" s="190">
        <f>IFERROR((ENJSA_BS!F5+ENJSA_BS!F6)/ENJSA_BS!F39,"-")</f>
        <v>0.21791351815254201</v>
      </c>
      <c r="G7" s="190">
        <f>IFERROR((ENJSA_BS!G5+ENJSA_BS!G6)/ENJSA_BS!G39,"-")</f>
        <v>0.37475787963490748</v>
      </c>
      <c r="H7" s="190">
        <f>IFERROR((ENJSA_BS!I5+ENJSA_BS!I6)/ENJSA_BS!I39,"-")</f>
        <v>0.25838183911007684</v>
      </c>
      <c r="I7" s="190">
        <f>IFERROR((ENJSA_BS!J5+ENJSA_BS!J6)/ENJSA_BS!J39,"-")</f>
        <v>0.35434618665694934</v>
      </c>
      <c r="J7" s="190">
        <f>IFERROR((ENJSA_BS!K5+ENJSA_BS!K6)/ENJSA_BS!K39,"-")</f>
        <v>0.21393171911326839</v>
      </c>
      <c r="K7" s="190" t="str">
        <f>IFERROR((ENJSA_BS!L5+ENJSA_BS!L6)/ENJSA_BS!L39,"-")</f>
        <v>-</v>
      </c>
    </row>
    <row r="8" spans="1:15" ht="15" customHeight="1" x14ac:dyDescent="0.2">
      <c r="A8" s="260" t="s">
        <v>527</v>
      </c>
      <c r="B8" s="260"/>
      <c r="C8" s="260"/>
      <c r="D8" s="260"/>
      <c r="E8" s="260"/>
      <c r="F8" s="260"/>
      <c r="G8" s="260"/>
      <c r="H8" s="260"/>
      <c r="I8" s="260"/>
      <c r="J8" s="260"/>
      <c r="K8" s="260"/>
    </row>
    <row r="9" spans="1:15" ht="15" customHeight="1" x14ac:dyDescent="0.2">
      <c r="A9" s="187" t="s">
        <v>528</v>
      </c>
      <c r="B9" s="188" t="s">
        <v>529</v>
      </c>
      <c r="C9" s="189" t="s">
        <v>684</v>
      </c>
      <c r="D9" s="191">
        <f>IFERROR(ENJSA_BS!B48/(ENJSA_BS!B25),"-")</f>
        <v>0.59862054775161466</v>
      </c>
      <c r="E9" s="191">
        <f>IFERROR(ENJSA_BS!D48/(ENJSA_BS!D25),"-")</f>
        <v>0.58578557441949386</v>
      </c>
      <c r="F9" s="191">
        <f>IFERROR(ENJSA_BS!F48/(ENJSA_BS!F25),"-")</f>
        <v>0.56265426408739916</v>
      </c>
      <c r="G9" s="191">
        <f>IFERROR(ENJSA_BS!G48/(ENJSA_BS!G25),"-")</f>
        <v>0.53357009470005301</v>
      </c>
      <c r="H9" s="191">
        <f>IFERROR(ENJSA_BS!I48/(ENJSA_BS!I25),"-")</f>
        <v>0.70422804074496737</v>
      </c>
      <c r="I9" s="191">
        <f>IFERROR(ENJSA_BS!J48/(ENJSA_BS!J25),"-")</f>
        <v>0.71170112585877909</v>
      </c>
      <c r="J9" s="191">
        <f>IFERROR(ENJSA_BS!K48/(ENJSA_BS!K25),"-")</f>
        <v>0.62527501332553059</v>
      </c>
      <c r="K9" s="191" t="str">
        <f>IFERROR(ENJSA_BS!L48/(ENJSA_BS!L25),"-")</f>
        <v>-</v>
      </c>
    </row>
    <row r="10" spans="1:15" ht="15" customHeight="1" x14ac:dyDescent="0.2">
      <c r="A10" s="187" t="s">
        <v>531</v>
      </c>
      <c r="B10" s="188" t="s">
        <v>532</v>
      </c>
      <c r="C10" s="189" t="s">
        <v>533</v>
      </c>
      <c r="D10" s="190">
        <f>IFERROR(ENJSA_BS!B48/(ENJSA_BS!B58),"-")</f>
        <v>1.4914080538960197</v>
      </c>
      <c r="E10" s="190">
        <f>IFERROR(ENJSA_BS!D48/(ENJSA_BS!D58),"-")</f>
        <v>1.4142085312420909</v>
      </c>
      <c r="F10" s="190">
        <f>IFERROR(ENJSA_BS!F48/(ENJSA_BS!F58),"-")</f>
        <v>1.286520521146318</v>
      </c>
      <c r="G10" s="190">
        <f>IFERROR(ENJSA_BS!G48/(ENJSA_BS!G58),"-")</f>
        <v>1.1439448642490673</v>
      </c>
      <c r="H10" s="190">
        <f>IFERROR(ENJSA_BS!I48/(ENJSA_BS!I58),"-")</f>
        <v>2.3809831145546121</v>
      </c>
      <c r="I10" s="190">
        <f>IFERROR(ENJSA_BS!J48/(ENJSA_BS!J58),"-")</f>
        <v>2.4686226332960222</v>
      </c>
      <c r="J10" s="190">
        <f>IFERROR(ENJSA_BS!K48/(ENJSA_BS!K58),"-")</f>
        <v>1.6686237522471876</v>
      </c>
      <c r="K10" s="190" t="str">
        <f>IFERROR(ENJSA_BS!L48/(ENJSA_BS!L58),"-")</f>
        <v>-</v>
      </c>
    </row>
    <row r="11" spans="1:15" ht="15" customHeight="1" x14ac:dyDescent="0.2">
      <c r="A11" s="187" t="s">
        <v>685</v>
      </c>
      <c r="B11" s="188" t="s">
        <v>535</v>
      </c>
      <c r="C11" s="189" t="s">
        <v>536</v>
      </c>
      <c r="D11" s="190">
        <f>IFERROR((ENJSA_BS!B29+ENJSA_BS!B30+ENJSA_BS!B41)/ENJSA_BS!B58,"-")</f>
        <v>0.70478775213638301</v>
      </c>
      <c r="E11" s="190">
        <f>IFERROR((ENJSA_BS!D29+ENJSA_BS!D30+ENJSA_BS!D41)/ENJSA_BS!D58,"-")</f>
        <v>0.72460309056507821</v>
      </c>
      <c r="F11" s="190">
        <f>IFERROR((ENJSA_BS!F29+ENJSA_BS!F30+ENJSA_BS!F41)/ENJSA_BS!F58,"-")</f>
        <v>0.57731260487543246</v>
      </c>
      <c r="G11" s="190">
        <f>IFERROR((ENJSA_BS!G29+ENJSA_BS!G30+ENJSA_BS!G41)/ENJSA_BS!G58,"-")</f>
        <v>0.53492010458679806</v>
      </c>
      <c r="H11" s="190">
        <f>IFERROR((ENJSA_BS!I29+ENJSA_BS!I30+ENJSA_BS!I41)/ENJSA_BS!I58,"-")</f>
        <v>1.1517583515275747</v>
      </c>
      <c r="I11" s="190">
        <f>IFERROR((ENJSA_BS!J29+ENJSA_BS!J30+ENJSA_BS!J41)/ENJSA_BS!J58,"-")</f>
        <v>1.3717349229719054</v>
      </c>
      <c r="J11" s="190">
        <f>IFERROR((ENJSA_BS!K29+ENJSA_BS!K30+ENJSA_BS!K41)/ENJSA_BS!K58,"-")</f>
        <v>1.0303584163351025</v>
      </c>
      <c r="K11" s="190" t="str">
        <f>IFERROR((ENJSA_BS!L29+ENJSA_BS!L30+ENJSA_BS!L41)/ENJSA_BS!L58,"-")</f>
        <v>-</v>
      </c>
    </row>
    <row r="12" spans="1:15" ht="15" customHeight="1" x14ac:dyDescent="0.2">
      <c r="A12" s="187" t="s">
        <v>686</v>
      </c>
      <c r="B12" s="188" t="s">
        <v>687</v>
      </c>
      <c r="C12" s="189" t="s">
        <v>538</v>
      </c>
      <c r="D12" s="192">
        <f>IFERROR((ENJSA_BS!B29+ENJSA_BS!B30+ENJSA_BS!B31+ENJSA_BS!B41+ENJSA_BS!B42-ENJSA_BS!B5)/ENJSA_PLS!B12,"-")</f>
        <v>1.4271865348670933</v>
      </c>
      <c r="E12" s="192">
        <f>IFERROR((ENJSA_BS!D29+ENJSA_BS!D30+ENJSA_BS!D31+ENJSA_BS!D41+ENJSA_BS!D42-ENJSA_BS!D5)/ENJSA_PLS!D12,"-")</f>
        <v>1.4012878852381989</v>
      </c>
      <c r="F12" s="192">
        <f>IFERROR((ENJSA_BS!F29+ENJSA_BS!F30+ENJSA_BS!F31+ENJSA_BS!F41+ENJSA_BS!F42-ENJSA_BS!F5)/ENJSA_PLS!F12,"-")</f>
        <v>1.574623426788053</v>
      </c>
      <c r="G12" s="192">
        <f>IFERROR((ENJSA_BS!G29+ENJSA_BS!G30+ENJSA_BS!G31+ENJSA_BS!G41+ENJSA_BS!G42-ENJSA_BS!G5)/ENJSA_PLS!H12,"-")</f>
        <v>1.7858486915734575</v>
      </c>
      <c r="H12" s="192">
        <f>IFERROR((ENJSA_BS!I29+ENJSA_BS!I30+ENJSA_BS!I31+ENJSA_BS!I41+ENJSA_BS!I42-ENJSA_BS!I5)/ENJSA_PLS!I12,"-")</f>
        <v>1.9350898900524687</v>
      </c>
      <c r="I12" s="192">
        <f>IFERROR((ENJSA_BS!J29+ENJSA_BS!J30+ENJSA_BS!J31+ENJSA_BS!J41+ENJSA_BS!J42-ENJSA_BS!J5)/ENJSA_PLS!J12,"-")</f>
        <v>2.6904188699957468</v>
      </c>
      <c r="J12" s="192">
        <f>IFERROR((ENJSA_BS!K29+ENJSA_BS!K30+ENJSA_BS!K31+ENJSA_BS!K41+ENJSA_BS!K42-ENJSA_BS!K5)/ENJSA_PLS!K12,"-")</f>
        <v>2.4344993184177288</v>
      </c>
      <c r="K12" s="192" t="str">
        <f>IFERROR((ENJSA_BS!L29+ENJSA_BS!L30+ENJSA_BS!L31+ENJSA_BS!L41+ENJSA_BS!L42-ENJSA_BS!L5)/ENJSA_PLS!L12,"-")</f>
        <v>-</v>
      </c>
      <c r="N12" s="193"/>
    </row>
    <row r="13" spans="1:15" ht="15" customHeight="1" x14ac:dyDescent="0.2">
      <c r="A13" s="187" t="s">
        <v>688</v>
      </c>
      <c r="B13" s="188" t="s">
        <v>689</v>
      </c>
      <c r="C13" s="189" t="s">
        <v>690</v>
      </c>
      <c r="D13" s="190">
        <f>IFERROR(ENJSA_BS!B25/(ENJSA_BS!B58),"-")</f>
        <v>2.4914080538960195</v>
      </c>
      <c r="E13" s="190">
        <f>IFERROR(ENJSA_BS!D25/(ENJSA_BS!D58),"-")</f>
        <v>2.4142085312420911</v>
      </c>
      <c r="F13" s="190">
        <f>IFERROR(ENJSA_BS!F25/(ENJSA_BS!F58),"-")</f>
        <v>2.286520521146318</v>
      </c>
      <c r="G13" s="190">
        <f>IFERROR(ENJSA_BS!G25/(ENJSA_BS!G58),"-")</f>
        <v>2.1439448642490673</v>
      </c>
      <c r="H13" s="190">
        <f>IFERROR(ENJSA_BS!I25/(ENJSA_BS!I58),"-")</f>
        <v>3.3809831145546121</v>
      </c>
      <c r="I13" s="190">
        <f>IFERROR(ENJSA_BS!J25/(ENJSA_BS!J58),"-")</f>
        <v>3.4686226332960222</v>
      </c>
      <c r="J13" s="190">
        <f>IFERROR(ENJSA_BS!K25/(ENJSA_BS!K58),"-")</f>
        <v>2.6686237522471874</v>
      </c>
      <c r="K13" s="190" t="str">
        <f>IFERROR(ENJSA_BS!L25/(ENJSA_BS!L58),"-")</f>
        <v>-</v>
      </c>
    </row>
    <row r="14" spans="1:15" ht="15" customHeight="1" x14ac:dyDescent="0.2">
      <c r="A14" s="187" t="s">
        <v>691</v>
      </c>
      <c r="B14" s="188" t="s">
        <v>182</v>
      </c>
      <c r="C14" s="189" t="s">
        <v>540</v>
      </c>
      <c r="D14" s="190">
        <f>IFERROR(ENJSA_PLS!B10/ABS(ENJSA_PLS!B15),"-")</f>
        <v>1.2597040640198445</v>
      </c>
      <c r="E14" s="190">
        <f>IFERROR(ENJSA_PLS!D10/ABS(ENJSA_PLS!D15),"-")</f>
        <v>1.1948967193406053</v>
      </c>
      <c r="F14" s="190">
        <f>IFERROR(ENJSA_PLS!F10/ABS(ENJSA_PLS!F15),"-")</f>
        <v>1.560691034414259</v>
      </c>
      <c r="G14" s="190">
        <f>IFERROR(ENJSA_PLS!H10/ABS(ENJSA_PLS!H15),"-")</f>
        <v>1.9819391553736432</v>
      </c>
      <c r="H14" s="190">
        <f>IFERROR(ENJSA_PLS!I10/ABS(ENJSA_PLS!I15),"-")</f>
        <v>3.0512920334124782</v>
      </c>
      <c r="I14" s="190">
        <f>IFERROR(ENJSA_PLS!J10/ABS(ENJSA_PLS!J15),"-")</f>
        <v>1.9707643802682062</v>
      </c>
      <c r="J14" s="190">
        <f>IFERROR(ENJSA_PLS!K10/ABS(ENJSA_PLS!K15),"-")</f>
        <v>1.662188353855242</v>
      </c>
      <c r="K14" s="190" t="str">
        <f>IFERROR(ENJSA_PLS!L10/ABS(ENJSA_PLS!L15),"-")</f>
        <v>-</v>
      </c>
    </row>
    <row r="15" spans="1:15" ht="15" customHeight="1" x14ac:dyDescent="0.2">
      <c r="A15" s="260" t="s">
        <v>555</v>
      </c>
      <c r="B15" s="260"/>
      <c r="C15" s="260"/>
      <c r="D15" s="260"/>
      <c r="E15" s="260"/>
      <c r="F15" s="260"/>
      <c r="G15" s="260"/>
      <c r="H15" s="260"/>
      <c r="I15" s="260"/>
      <c r="J15" s="260"/>
      <c r="K15" s="260"/>
    </row>
    <row r="16" spans="1:15" ht="15" customHeight="1" x14ac:dyDescent="0.2">
      <c r="A16" s="187" t="s">
        <v>556</v>
      </c>
      <c r="B16" s="188" t="s">
        <v>557</v>
      </c>
      <c r="C16" s="189" t="s">
        <v>558</v>
      </c>
      <c r="D16" s="190">
        <f>IFERROR(ENJSA_PLS!B4/(ENJSA_BS!B25),"-")</f>
        <v>0.97680977729826213</v>
      </c>
      <c r="E16" s="190">
        <f>IFERROR(ENJSA_PLS!D4/(ENJSA_BS!D25),"-")</f>
        <v>1.0602629078987762</v>
      </c>
      <c r="F16" s="190">
        <f>IFERROR(ENJSA_PLS!F4/(ENJSA_BS!F25),"-")</f>
        <v>1.2768757232099066</v>
      </c>
      <c r="G16" s="190">
        <f>IFERROR(ENJSA_PLS!H4/(ENJSA_BS!G25),"-")</f>
        <v>0.66967515901696428</v>
      </c>
      <c r="H16" s="190">
        <f>IFERROR(ENJSA_PLS!I4/(ENJSA_BS!I25),"-")</f>
        <v>0.97107996517579587</v>
      </c>
      <c r="I16" s="190">
        <f>IFERROR(ENJSA_PLS!J4/(ENJSA_BS!J25),"-")</f>
        <v>0.88138175485087622</v>
      </c>
      <c r="J16" s="190">
        <f>IFERROR(ENJSA_PLS!K4/(ENJSA_BS!K25),"-")</f>
        <v>0.82805519447101794</v>
      </c>
      <c r="K16" s="190" t="str">
        <f>IFERROR(ENJSA_PLS!L4/(ENJSA_BS!L25),"-")</f>
        <v>-</v>
      </c>
    </row>
    <row r="17" spans="1:11" ht="15" customHeight="1" x14ac:dyDescent="0.2">
      <c r="A17" s="187" t="s">
        <v>692</v>
      </c>
      <c r="B17" s="188" t="s">
        <v>560</v>
      </c>
      <c r="C17" s="189" t="s">
        <v>561</v>
      </c>
      <c r="D17" s="190">
        <f>IFERROR(ENJSA_PLS!B4/(ENJSA_BS!B7),"-")</f>
        <v>6.8238199278932292</v>
      </c>
      <c r="E17" s="190">
        <f>IFERROR(ENJSA_PLS!D4/(ENJSA_BS!D7),"-")</f>
        <v>9.3185110724585307</v>
      </c>
      <c r="F17" s="190">
        <f>IFERROR(ENJSA_PLS!F4/(ENJSA_BS!F7),"-")</f>
        <v>10.858428235205654</v>
      </c>
      <c r="G17" s="190">
        <f>IFERROR(ENJSA_PLS!H4/(ENJSA_BS!G7),"-")</f>
        <v>9.0112512284573132</v>
      </c>
      <c r="H17" s="190">
        <f>IFERROR(ENJSA_PLS!I4/(ENJSA_BS!I7),"-")</f>
        <v>5.4815628754280832</v>
      </c>
      <c r="I17" s="190">
        <f>IFERROR(ENJSA_PLS!J4/(ENJSA_BS!J7),"-")</f>
        <v>7.3911877969934112</v>
      </c>
      <c r="J17" s="190">
        <f>IFERROR(ENJSA_PLS!K4/(ENJSA_BS!K7),"-")</f>
        <v>6.4639893269711628</v>
      </c>
      <c r="K17" s="190" t="str">
        <f>IFERROR(ENJSA_PLS!L4/(ENJSA_BS!L7),"-")</f>
        <v>-</v>
      </c>
    </row>
    <row r="18" spans="1:11" ht="15" customHeight="1" x14ac:dyDescent="0.2">
      <c r="A18" s="187" t="s">
        <v>693</v>
      </c>
      <c r="B18" s="188" t="s">
        <v>563</v>
      </c>
      <c r="C18" s="189" t="s">
        <v>564</v>
      </c>
      <c r="D18" s="194">
        <f>IFERROR(365/(ENJSA_PLS!B4/ENJSA_BS!B7),"-")</f>
        <v>53.489101977620514</v>
      </c>
      <c r="E18" s="194">
        <f>IFERROR(365/(ENJSA_PLS!D4/ENJSA_BS!D7),"-")</f>
        <v>39.169347673876935</v>
      </c>
      <c r="F18" s="194">
        <f>IFERROR(365/(ENJSA_PLS!F4/ENJSA_BS!F7),"-")</f>
        <v>33.614441436061767</v>
      </c>
      <c r="G18" s="194">
        <f>IFERROR(365/(ENJSA_PLS!H4/ENJSA_BS!G7),"-")</f>
        <v>40.504918878228459</v>
      </c>
      <c r="H18" s="194">
        <f>IFERROR(365/(ENJSA_PLS!I4/ENJSA_BS!I7),"-")</f>
        <v>66.586849096663016</v>
      </c>
      <c r="I18" s="194">
        <f>IFERROR(365/(ENJSA_PLS!J4/ENJSA_BS!J7),"-")</f>
        <v>49.383131646103593</v>
      </c>
      <c r="J18" s="194">
        <f>IFERROR(365/(ENJSA_PLS!K4/ENJSA_BS!K7),"-")</f>
        <v>56.466677393328617</v>
      </c>
      <c r="K18" s="194" t="str">
        <f>IFERROR(365/(ENJSA_PLS!L4/ENJSA_BS!L7),"-")</f>
        <v>-</v>
      </c>
    </row>
    <row r="19" spans="1:11" ht="15" customHeight="1" x14ac:dyDescent="0.2">
      <c r="A19" s="187" t="s">
        <v>694</v>
      </c>
      <c r="B19" s="188" t="s">
        <v>226</v>
      </c>
      <c r="C19" s="189" t="s">
        <v>695</v>
      </c>
      <c r="D19" s="190">
        <f>IFERROR(ENJSA_PLS!B4/(ENJSA_BS!B32),"-")</f>
        <v>8.2301460845836338</v>
      </c>
      <c r="E19" s="190">
        <f>IFERROR(ENJSA_PLS!D4/(ENJSA_BS!D32),"-")</f>
        <v>9.6014238950566195</v>
      </c>
      <c r="F19" s="190">
        <f>IFERROR(ENJSA_PLS!F4/(ENJSA_BS!F32),"-")</f>
        <v>10.405447094945211</v>
      </c>
      <c r="G19" s="190">
        <f>IFERROR(ENJSA_PLS!H4/(ENJSA_BS!G32),"-")</f>
        <v>7.5678512020609885</v>
      </c>
      <c r="H19" s="190">
        <f>IFERROR(ENJSA_PLS!I4/(ENJSA_BS!I32),"-")</f>
        <v>7.673098911367096</v>
      </c>
      <c r="I19" s="190">
        <f>IFERROR(ENJSA_PLS!J4/(ENJSA_BS!J32),"-")</f>
        <v>11.365279830251097</v>
      </c>
      <c r="J19" s="190">
        <f>IFERROR(ENJSA_PLS!K4/(ENJSA_BS!K32),"-")</f>
        <v>7.448665962123127</v>
      </c>
      <c r="K19" s="190" t="str">
        <f>IFERROR(ENJSA_PLS!L4/(ENJSA_BS!L32),"-")</f>
        <v>-</v>
      </c>
    </row>
    <row r="20" spans="1:11" ht="15" customHeight="1" x14ac:dyDescent="0.2">
      <c r="A20" s="187" t="s">
        <v>696</v>
      </c>
      <c r="B20" s="188" t="s">
        <v>390</v>
      </c>
      <c r="C20" s="189" t="s">
        <v>697</v>
      </c>
      <c r="D20" s="190">
        <f>IFERROR(ABS(ENJSA_PLS!B5)/ENJSA_BS!B10,"-")</f>
        <v>48.87935023433031</v>
      </c>
      <c r="E20" s="190">
        <f>IFERROR(ABS(ENJSA_PLS!D5)/ENJSA_BS!D10,"-")</f>
        <v>38.367593608669715</v>
      </c>
      <c r="F20" s="190">
        <f>IFERROR(ABS(ENJSA_PLS!F5)/ENJSA_BS!F10,"-")</f>
        <v>36.261669550164243</v>
      </c>
      <c r="G20" s="190">
        <f>IFERROR(ABS(ENJSA_PLS!H5)/ENJSA_BS!G10,"-")</f>
        <v>22.138428958848582</v>
      </c>
      <c r="H20" s="190">
        <f>IFERROR(ABS(ENJSA_PLS!I5)/ENJSA_BS!I10,"-")</f>
        <v>49.761658285841996</v>
      </c>
      <c r="I20" s="190">
        <f>IFERROR(ABS(ENJSA_PLS!J5)/ENJSA_BS!J10,"-")</f>
        <v>95.068574192368715</v>
      </c>
      <c r="J20" s="190">
        <f>IFERROR(ABS(ENJSA_PLS!K5)/ENJSA_BS!K10,"-")</f>
        <v>106.92150993156655</v>
      </c>
      <c r="K20" s="190" t="str">
        <f>IFERROR(ABS(ENJSA_PLS!L5)/ENJSA_BS!L10,"-")</f>
        <v>-</v>
      </c>
    </row>
    <row r="21" spans="1:11" ht="15" customHeight="1" x14ac:dyDescent="0.2">
      <c r="A21" s="260" t="s">
        <v>541</v>
      </c>
      <c r="B21" s="260"/>
      <c r="C21" s="260"/>
      <c r="D21" s="260"/>
      <c r="E21" s="260"/>
      <c r="F21" s="260"/>
      <c r="G21" s="260"/>
      <c r="H21" s="260"/>
      <c r="I21" s="260"/>
      <c r="J21" s="260"/>
      <c r="K21" s="260"/>
    </row>
    <row r="22" spans="1:11" ht="15" customHeight="1" x14ac:dyDescent="0.2">
      <c r="A22" s="187" t="s">
        <v>542</v>
      </c>
      <c r="B22" s="188" t="s">
        <v>189</v>
      </c>
      <c r="C22" s="189" t="s">
        <v>543</v>
      </c>
      <c r="D22" s="191">
        <f>IFERROR(ENJSA_PLS!B6/(ENJSA_PLS!B4),"-")</f>
        <v>0.25532076158072237</v>
      </c>
      <c r="E22" s="191">
        <f>IFERROR(ENJSA_PLS!D6/(ENJSA_PLS!D4),"-")</f>
        <v>0.22417529471228129</v>
      </c>
      <c r="F22" s="191">
        <f>IFERROR(ENJSA_PLS!F6/(ENJSA_PLS!F4),"-")</f>
        <v>0.1515105901954944</v>
      </c>
      <c r="G22" s="191">
        <f>IFERROR(ENJSA_PLS!H6/(ENJSA_PLS!H4),"-")</f>
        <v>0.18742880542939563</v>
      </c>
      <c r="H22" s="191">
        <f>IFERROR(ENJSA_PLS!I6/(ENJSA_PLS!I4),"-")</f>
        <v>0.27111147978794198</v>
      </c>
      <c r="I22" s="191">
        <f>IFERROR(ENJSA_PLS!J6/(ENJSA_PLS!J4),"-")</f>
        <v>0.25919563282100183</v>
      </c>
      <c r="J22" s="191">
        <f>IFERROR(ENJSA_PLS!K6/(ENJSA_PLS!K4),"-")</f>
        <v>0.27473642355441308</v>
      </c>
      <c r="K22" s="191" t="str">
        <f>IFERROR(ENJSA_PLS!L6/(ENJSA_PLS!L4),"-")</f>
        <v>-</v>
      </c>
    </row>
    <row r="23" spans="1:11" ht="15" customHeight="1" x14ac:dyDescent="0.2">
      <c r="A23" s="187" t="s">
        <v>544</v>
      </c>
      <c r="B23" s="188" t="s">
        <v>192</v>
      </c>
      <c r="C23" s="189" t="s">
        <v>378</v>
      </c>
      <c r="D23" s="191">
        <f>IFERROR(ENJSA_PLS!B12/(ENJSA_PLS!B4),"-")</f>
        <v>0.19325817542826823</v>
      </c>
      <c r="E23" s="191">
        <f>IFERROR(ENJSA_PLS!D12/(ENJSA_PLS!D4),"-")</f>
        <v>0.16971511665157687</v>
      </c>
      <c r="F23" s="195">
        <f>IFERROR(ENJSA_PLS!F12/(ENJSA_PLS!F4),"-")</f>
        <v>0.11205260991309506</v>
      </c>
      <c r="G23" s="191">
        <f>IFERROR(ENJSA_PLS!H12/(ENJSA_PLS!H4),"-")</f>
        <v>0.1236322619564903</v>
      </c>
      <c r="H23" s="191">
        <f>IFERROR(ENJSA_PLS!I12/(ENJSA_PLS!I4),"-")</f>
        <v>0.18405950356755396</v>
      </c>
      <c r="I23" s="191">
        <f>IFERROR(ENJSA_PLS!J12/(ENJSA_PLS!J4),"-")</f>
        <v>0.16370877267634079</v>
      </c>
      <c r="J23" s="191">
        <f>IFERROR(ENJSA_PLS!K12/(ENJSA_PLS!K4),"-")</f>
        <v>0.18908085786907322</v>
      </c>
      <c r="K23" s="191" t="str">
        <f>IFERROR(ENJSA_PLS!L12/(ENJSA_PLS!L4),"-")</f>
        <v>-</v>
      </c>
    </row>
    <row r="24" spans="1:11" ht="15" customHeight="1" x14ac:dyDescent="0.2">
      <c r="A24" s="187" t="s">
        <v>545</v>
      </c>
      <c r="B24" s="188" t="s">
        <v>546</v>
      </c>
      <c r="C24" s="189" t="s">
        <v>547</v>
      </c>
      <c r="D24" s="191">
        <f>IFERROR(ENJSA_PLS!B10/(ENJSA_PLS!B4),"-")</f>
        <v>0.16239058558409777</v>
      </c>
      <c r="E24" s="191">
        <f>IFERROR(ENJSA_PLS!D10/(ENJSA_PLS!D4),"-")</f>
        <v>0.14481012673105442</v>
      </c>
      <c r="F24" s="195">
        <f>IFERROR(ENJSA_PLS!F10/(ENJSA_PLS!F4),"-")</f>
        <v>8.8317119037618783E-2</v>
      </c>
      <c r="G24" s="191">
        <f>IFERROR(ENJSA_PLS!H10/(ENJSA_PLS!H4),"-")</f>
        <v>9.8852608504175737E-2</v>
      </c>
      <c r="H24" s="191">
        <f>IFERROR(ENJSA_PLS!I10/(ENJSA_PLS!I4),"-")</f>
        <v>0.14778833784469597</v>
      </c>
      <c r="I24" s="191">
        <f>IFERROR(ENJSA_PLS!J10/(ENJSA_PLS!J4),"-")</f>
        <v>0.12583625753733144</v>
      </c>
      <c r="J24" s="191">
        <f>IFERROR(ENJSA_PLS!K10/(ENJSA_PLS!K4),"-")</f>
        <v>0.15751774075937056</v>
      </c>
      <c r="K24" s="191" t="str">
        <f>IFERROR(ENJSA_PLS!L10/(ENJSA_PLS!L4),"-")</f>
        <v>-</v>
      </c>
    </row>
    <row r="25" spans="1:11" ht="15" customHeight="1" x14ac:dyDescent="0.2">
      <c r="A25" s="187" t="s">
        <v>548</v>
      </c>
      <c r="B25" s="188" t="s">
        <v>549</v>
      </c>
      <c r="C25" s="189" t="s">
        <v>550</v>
      </c>
      <c r="D25" s="191">
        <f>IFERROR(ENJSA_PLS!B21/(ENJSA_PLS!B4),"-")</f>
        <v>1.360685423782867E-2</v>
      </c>
      <c r="E25" s="191">
        <f>IFERROR(ENJSA_PLS!D21/(ENJSA_PLS!D4),"-")</f>
        <v>-2.5462594785704267E-2</v>
      </c>
      <c r="F25" s="195">
        <f>IFERROR(ENJSA_PLS!F21/(ENJSA_PLS!F4),"-")</f>
        <v>2.6782887194274314E-2</v>
      </c>
      <c r="G25" s="191">
        <f>IFERROR(ENJSA_PLS!H21/(ENJSA_PLS!H4),"-")</f>
        <v>0.17167861878723037</v>
      </c>
      <c r="H25" s="191">
        <f>IFERROR(ENJSA_PLS!I21/(ENJSA_PLS!I4),"-")</f>
        <v>7.4714934989664195E-2</v>
      </c>
      <c r="I25" s="191">
        <f>IFERROR(ENJSA_PLS!J21/(ENJSA_PLS!J4),"-")</f>
        <v>4.9991857868863017E-2</v>
      </c>
      <c r="J25" s="191">
        <f>IFERROR(ENJSA_PLS!K21/(ENJSA_PLS!K4),"-")</f>
        <v>5.3134091584959402E-2</v>
      </c>
      <c r="K25" s="191" t="str">
        <f>IFERROR(ENJSA_PLS!L21/(ENJSA_PLS!L4),"-")</f>
        <v>-</v>
      </c>
    </row>
    <row r="26" spans="1:11" ht="15" customHeight="1" x14ac:dyDescent="0.2">
      <c r="A26" s="187" t="s">
        <v>698</v>
      </c>
      <c r="B26" s="188" t="s">
        <v>552</v>
      </c>
      <c r="C26" s="189" t="s">
        <v>550</v>
      </c>
      <c r="D26" s="191">
        <f>IFERROR(ENJSA_PLS!B21/(ENJSA_BS!B25),"-")</f>
        <v>1.3291308257783338E-2</v>
      </c>
      <c r="E26" s="191">
        <f>IFERROR(ENJSA_PLS!D21/(ENJSA_BS!D25),"-")</f>
        <v>-2.6997044790139021E-2</v>
      </c>
      <c r="F26" s="195">
        <f>IFERROR(ENJSA_PLS!F21/(ENJSA_BS!F25),"-")</f>
        <v>3.4198418455838361E-2</v>
      </c>
      <c r="G26" s="191">
        <f>IFERROR(ENJSA_PLS!H21/(ENJSA_BS!G25),"-")</f>
        <v>0.11496890633615128</v>
      </c>
      <c r="H26" s="191">
        <f>IFERROR(ENJSA_PLS!I21/(ENJSA_BS!I25),"-")</f>
        <v>7.2554176467874945E-2</v>
      </c>
      <c r="I26" s="191">
        <f>IFERROR(ENJSA_PLS!J21/(ENJSA_BS!J25),"-")</f>
        <v>4.4061911416714068E-2</v>
      </c>
      <c r="J26" s="191">
        <f>IFERROR(ENJSA_PLS!K21/(ENJSA_BS!K25),"-")</f>
        <v>4.3997960540424437E-2</v>
      </c>
      <c r="K26" s="191" t="str">
        <f>IFERROR(ENJSA_PLS!L21/(ENJSA_BS!L25),"-")</f>
        <v>-</v>
      </c>
    </row>
    <row r="27" spans="1:11" ht="15" customHeight="1" x14ac:dyDescent="0.2">
      <c r="A27" s="187" t="s">
        <v>699</v>
      </c>
      <c r="B27" s="188" t="s">
        <v>554</v>
      </c>
      <c r="C27" s="189" t="s">
        <v>202</v>
      </c>
      <c r="D27" s="191">
        <f>IFERROR(ENJSA_PLS!B21/(ENJSA_BS!B58),"-")</f>
        <v>3.3114072440256083E-2</v>
      </c>
      <c r="E27" s="191">
        <f>IFERROR(ENJSA_PLS!D21/(ENJSA_BS!D58),"-")</f>
        <v>-6.5176495850678473E-2</v>
      </c>
      <c r="F27" s="195">
        <f>IFERROR(ENJSA_PLS!F21/(ENJSA_BS!F58),"-")</f>
        <v>7.8195385590023397E-2</v>
      </c>
      <c r="G27" s="191">
        <f>IFERROR(ENJSA_PLS!H21/(ENJSA_BS!G58),"-")</f>
        <v>0.24648699628772358</v>
      </c>
      <c r="H27" s="191">
        <f>IFERROR(ENJSA_PLS!I21/(ENJSA_BS!I58),"-")</f>
        <v>0.2453044455283008</v>
      </c>
      <c r="I27" s="191">
        <f>IFERROR(ENJSA_PLS!J21/(ENJSA_BS!J58),"-")</f>
        <v>0.15283414320629882</v>
      </c>
      <c r="J27" s="191">
        <f>IFERROR(ENJSA_PLS!K21/(ENJSA_BS!K58),"-")</f>
        <v>0.11741400254861116</v>
      </c>
      <c r="K27" s="191" t="str">
        <f>IFERROR(ENJSA_PLS!L21/(ENJSA_BS!L58),"-")</f>
        <v>-</v>
      </c>
    </row>
    <row r="28" spans="1:11" ht="15" customHeight="1" x14ac:dyDescent="0.2">
      <c r="A28" s="187" t="s">
        <v>232</v>
      </c>
      <c r="B28" s="188" t="s">
        <v>568</v>
      </c>
      <c r="C28" s="189" t="s">
        <v>569</v>
      </c>
      <c r="D28" s="190">
        <f>IFERROR(ENJSA_PLS!B12/ABS(ENJSA_PLS!B15),"-")</f>
        <v>1.49915161717287</v>
      </c>
      <c r="E28" s="190">
        <f>IFERROR(ENJSA_PLS!D12/ABS(ENJSA_PLS!D15),"-")</f>
        <v>1.4003995486179541</v>
      </c>
      <c r="F28" s="190">
        <f>IFERROR(ENJSA_PLS!F12/ABS(ENJSA_PLS!F15),"-")</f>
        <v>1.9801314352158117</v>
      </c>
      <c r="G28" s="190">
        <f>IFERROR(ENJSA_PLS!H12/ABS(ENJSA_PLS!H15),"-")</f>
        <v>2.4787572583745097</v>
      </c>
      <c r="H28" s="190">
        <f>IFERROR(ENJSA_PLS!I12/ABS(ENJSA_PLS!I15),"-")</f>
        <v>3.8001597764751445</v>
      </c>
      <c r="I28" s="190">
        <f>IFERROR(ENJSA_PLS!J12/ABS(ENJSA_PLS!J15),"-")</f>
        <v>2.5638987064776892</v>
      </c>
      <c r="J28" s="190">
        <f>IFERROR(ENJSA_PLS!K12/ABS(ENJSA_PLS!K15),"-")</f>
        <v>1.9952546193958483</v>
      </c>
      <c r="K28" s="190" t="str">
        <f>IFERROR(ENJSA_PLS!L12/ABS(ENJSA_PLS!L15),"-")</f>
        <v>-</v>
      </c>
    </row>
    <row r="29" spans="1:11" ht="15" customHeight="1" x14ac:dyDescent="0.2">
      <c r="A29" s="260" t="s">
        <v>565</v>
      </c>
      <c r="B29" s="260"/>
      <c r="C29" s="260"/>
      <c r="D29" s="260"/>
      <c r="E29" s="260"/>
      <c r="F29" s="260"/>
      <c r="G29" s="260"/>
      <c r="H29" s="260"/>
      <c r="I29" s="260"/>
      <c r="J29" s="260"/>
      <c r="K29" s="260"/>
    </row>
    <row r="30" spans="1:11" ht="15" customHeight="1" x14ac:dyDescent="0.2">
      <c r="A30" s="187" t="s">
        <v>700</v>
      </c>
      <c r="B30" s="188" t="s">
        <v>701</v>
      </c>
      <c r="C30" s="189" t="s">
        <v>540</v>
      </c>
      <c r="D30" s="190">
        <f>IFERROR(ENJSA_CFS!B14/ABS(ENJSA_PLS!B19),"-")</f>
        <v>91.994471310553806</v>
      </c>
      <c r="E30" s="190">
        <f>IFERROR(ENJSA_CFS!D14/ABS(ENJSA_PLS!D19),"-")</f>
        <v>4.3941068839988082</v>
      </c>
      <c r="F30" s="196">
        <f>IFERROR(ENJSA_CFS!F14/ABS(ENJSA_PLS!F19),"-")</f>
        <v>17.158957222796829</v>
      </c>
      <c r="G30" s="197">
        <f>IFERROR(ENJSA_CFS!H14/ABS(ENJSA_PLS!H19),"-")</f>
        <v>0.93862706241303751</v>
      </c>
      <c r="H30" s="190">
        <f>IFERROR(ENJSA_CFS!I14/ABS(ENJSA_PLS!I19),"-")</f>
        <v>39.137080860218383</v>
      </c>
      <c r="I30" s="190">
        <f>IFERROR(ENJSA_CFS!J14/ABS(ENJSA_PLS!J19),"-")</f>
        <v>18.174147621887371</v>
      </c>
      <c r="J30" s="190">
        <f>IFERROR(ENJSA_CFS!K14/ABS(ENJSA_PLS!K19),"-")</f>
        <v>27.62723923640829</v>
      </c>
      <c r="K30" s="190" t="str">
        <f>IFERROR(ENJSA_CFS!L14/ABS(ENJSA_PLS!L19),"-")</f>
        <v>-</v>
      </c>
    </row>
    <row r="31" spans="1:11" ht="15" customHeight="1" x14ac:dyDescent="0.2">
      <c r="A31" s="187" t="s">
        <v>702</v>
      </c>
      <c r="B31" s="188" t="s">
        <v>703</v>
      </c>
      <c r="C31" s="189" t="s">
        <v>704</v>
      </c>
      <c r="D31" s="191">
        <f>IFERROR(ABS(ENJSA_CFS!B17+ENJSA_CFS!B18)/ENJSA_PLS!B4,"-")</f>
        <v>0.11653673683995452</v>
      </c>
      <c r="E31" s="191">
        <f>IFERROR(ABS(ENJSA_CFS!D17+ENJSA_CFS!D18)/ENJSA_PLS!D4,"-")</f>
        <v>9.8109744640205498E-2</v>
      </c>
      <c r="F31" s="198">
        <f>IFERROR(ABS(ENJSA_CFS!F17+ENJSA_CFS!F18)/ENJSA_PLS!F4,"-")</f>
        <v>0.10002202654938241</v>
      </c>
      <c r="G31" s="198">
        <f>IFERROR(ABS(ENJSA_CFS!H17+ENJSA_CFS!H18)/ENJSA_PLS!H4,"-")</f>
        <v>8.4804934869494378E-2</v>
      </c>
      <c r="H31" s="191">
        <f>IFERROR(ABS(ENJSA_CFS!I17+ENJSA_CFS!I18)/ENJSA_PLS!I4,"-")</f>
        <v>0.11469188119386214</v>
      </c>
      <c r="I31" s="191">
        <f>IFERROR(ABS(ENJSA_CFS!J17+ENJSA_CFS!J18)/ENJSA_PLS!J4,"-")</f>
        <v>9.9066961870052872E-2</v>
      </c>
      <c r="J31" s="191">
        <f>IFERROR(ABS(ENJSA_CFS!K17+ENJSA_CFS!K18)/ENJSA_PLS!K4,"-")</f>
        <v>8.3345392260404966E-2</v>
      </c>
      <c r="K31" s="191" t="str">
        <f>IFERROR(ABS(ENJSA_CFS!L17+ENJSA_CFS!L18)/ENJSA_PLS!L4,"-")</f>
        <v>-</v>
      </c>
    </row>
    <row r="32" spans="1:11" ht="15" customHeight="1" x14ac:dyDescent="0.2">
      <c r="A32" s="187" t="s">
        <v>705</v>
      </c>
      <c r="B32" s="188" t="s">
        <v>706</v>
      </c>
      <c r="C32" s="189" t="s">
        <v>707</v>
      </c>
      <c r="D32" s="199">
        <f>IFERROR(IF(ENJSA_PLS!B21&gt;0,ABS(ENJSA_CFS!B30)/ENJSA_PLS!B21,"N/A (Zarar)"),"-")</f>
        <v>1.2711461799991297</v>
      </c>
      <c r="E32" s="199" t="str">
        <f>IFERROR(IF(ENJSA_PLS!D21&gt;0,ABS(ENJSA_CFS!D30)/ENJSA_PLS!D21,"N/A (Zarar)"),"-")</f>
        <v>N/A (Zarar)</v>
      </c>
      <c r="F32" s="199">
        <f>IFERROR(IF(ENJSA_PLS!F21&gt;0,ABS(ENJSA_CFS!F30)/ENJSA_PLS!F21,"N/A (Zarar)"),"-")</f>
        <v>0.88058466446743056</v>
      </c>
      <c r="G32" s="199">
        <f>IFERROR(IF(ENJSA_PLS!H21&gt;0,ABS(ENJSA_CFS!H30)/ENJSA_PLS!H21,"N/A (Zarar)"),"-")</f>
        <v>0.13511728124077244</v>
      </c>
      <c r="H32" s="199">
        <f>IFERROR(IF(ENJSA_PLS!I21&gt;0,ABS(ENJSA_CFS!I30)/ENJSA_PLS!I21,"N/A (Zarar)"),"-")</f>
        <v>0.49677615529134656</v>
      </c>
      <c r="I32" s="199">
        <f>IFERROR(IF(ENJSA_PLS!J21&gt;0,ABS(ENJSA_CFS!J30)/ENJSA_PLS!J21,"N/A (Zarar)"),"-")</f>
        <v>0.65151427391988292</v>
      </c>
      <c r="J32" s="199">
        <f>IFERROR(IF(ENJSA_PLS!K21&gt;0,ABS(ENJSA_CFS!K30)/ENJSA_PLS!K21,"N/A (Zarar)"),"-")</f>
        <v>0.45705973750558715</v>
      </c>
      <c r="K32" s="199" t="str">
        <f>IFERROR(IF(ENJSA_PLS!L21&gt;0,ABS(ENJSA_CFS!L30)/ENJSA_PLS!L21,"N/A (Zarar)"),"-")</f>
        <v>N/A (Zarar)</v>
      </c>
    </row>
    <row r="33" spans="1:15" ht="15" customHeight="1" x14ac:dyDescent="0.2"/>
    <row r="34" spans="1:15" ht="15" customHeight="1" x14ac:dyDescent="0.2">
      <c r="A34" s="166" t="s">
        <v>571</v>
      </c>
      <c r="B34" s="166"/>
      <c r="C34" s="166"/>
      <c r="D34" s="166"/>
      <c r="E34" s="166"/>
      <c r="F34" s="166"/>
      <c r="G34" s="166"/>
      <c r="H34" s="166"/>
      <c r="I34" s="166"/>
      <c r="J34" s="200"/>
      <c r="K34" s="200"/>
    </row>
    <row r="35" spans="1:15" ht="15" customHeight="1" x14ac:dyDescent="0.2">
      <c r="A35" s="141" t="s">
        <v>572</v>
      </c>
      <c r="B35" s="201"/>
      <c r="C35" s="201"/>
      <c r="D35" s="202">
        <v>1181.07</v>
      </c>
      <c r="E35" s="202"/>
      <c r="F35" s="202"/>
      <c r="G35" s="202"/>
      <c r="H35" s="202"/>
      <c r="I35" s="202"/>
      <c r="J35" s="203"/>
      <c r="K35" s="203"/>
    </row>
    <row r="36" spans="1:15" ht="15" customHeight="1" x14ac:dyDescent="0.2">
      <c r="A36" s="141" t="s">
        <v>574</v>
      </c>
      <c r="B36" s="201" t="s">
        <v>708</v>
      </c>
      <c r="C36" s="201"/>
      <c r="D36" s="204">
        <f>IFERROR(ENJSA_PLS!B21/ENJSA_BS!B51,"-")</f>
        <v>2.6850946049722753</v>
      </c>
      <c r="E36" s="204">
        <f>IFERROR(ENJSA_PLS!D21/ENJSA_BS!D51,"-")</f>
        <v>-4.1088056667307331</v>
      </c>
      <c r="F36" s="204">
        <f>IFERROR(ENJSA_PLS!F21/ENJSA_BS!F51,"-")</f>
        <v>3.8247773838785033</v>
      </c>
      <c r="G36" s="204">
        <f>IFERROR(ENJSA_PLS!H21/ENJSA_BS!G51,"-")</f>
        <v>12.275398812431789</v>
      </c>
      <c r="H36" s="204">
        <f>IFERROR(ENJSA_PLS!I21/ENJSA_BS!I51,"-")</f>
        <v>1.9324594922057898</v>
      </c>
      <c r="I36" s="204">
        <f>IFERROR(ENJSA_PLS!J21/ENJSA_BS!J51,"-")</f>
        <v>0.9209309532296589</v>
      </c>
      <c r="J36" s="205">
        <f>IFERROR(ENJSA_PLS!K21/ENJSA_BS!K51,"-")</f>
        <v>0.87515801363002499</v>
      </c>
      <c r="K36" s="205" t="str">
        <f>IFERROR(ENJSA_PLS!L21/ENJSA_BS!L51,"-")</f>
        <v>-</v>
      </c>
    </row>
    <row r="37" spans="1:15" ht="15" customHeight="1" x14ac:dyDescent="0.2">
      <c r="A37" s="141" t="s">
        <v>576</v>
      </c>
      <c r="B37" s="201" t="s">
        <v>709</v>
      </c>
      <c r="C37" s="201"/>
      <c r="D37" s="204">
        <f>IFERROR(ENJSA_BS!B58/ENJSA_BS!B51,"-")</f>
        <v>81.086209188455541</v>
      </c>
      <c r="E37" s="204">
        <f>IFERROR(ENJSA_BS!D58/ENJSA_BS!D51,"-")</f>
        <v>63.041217744263882</v>
      </c>
      <c r="F37" s="204">
        <f>IFERROR(ENJSA_BS!F58/ENJSA_BS!F51,"-")</f>
        <v>48.91308297821719</v>
      </c>
      <c r="G37" s="204">
        <f>IFERROR(ENJSA_BS!G58/ENJSA_BS!G51,"-")</f>
        <v>49.801405337029422</v>
      </c>
      <c r="H37" s="204">
        <f>IFERROR(ENJSA_BS!I58/ENJSA_BS!I51,"-")</f>
        <v>7.8778005349391105</v>
      </c>
      <c r="I37" s="204">
        <f>IFERROR(ENJSA_BS!J58/ENJSA_BS!J51,"-")</f>
        <v>6.0256885922837702</v>
      </c>
      <c r="J37" s="206">
        <f>IFERROR(ENJSA_BS!K58/ENJSA_BS!K51,"-")</f>
        <v>7.4536085529295919</v>
      </c>
      <c r="K37" s="206" t="str">
        <f>IFERROR(ENJSA_BS!L58/ENJSA_BS!L51,"-")</f>
        <v>-</v>
      </c>
    </row>
    <row r="38" spans="1:15" ht="15" customHeight="1" x14ac:dyDescent="0.2">
      <c r="A38" s="141" t="s">
        <v>578</v>
      </c>
      <c r="B38" s="201" t="s">
        <v>710</v>
      </c>
      <c r="C38" s="201"/>
      <c r="D38" s="204">
        <f>IFERROR(ENJSA_CFS!B14/ENJSA_BS!B51,"-")</f>
        <v>34.291369936896153</v>
      </c>
      <c r="E38" s="204">
        <f>IFERROR(ENJSA_CFS!D14/ENJSA_BS!D51,"-")</f>
        <v>20.847866636072915</v>
      </c>
      <c r="F38" s="204">
        <f>IFERROR(ENJSA_CFS!F14/ENJSA_BS!F51,"-")</f>
        <v>5.4781964474556526</v>
      </c>
      <c r="G38" s="204">
        <f>IFERROR(ENJSA_CFS!H14/ENJSA_BS!G51,"-")</f>
        <v>9.9618776586437718</v>
      </c>
      <c r="H38" s="204">
        <f>IFERROR(ENJSA_CFS!I14/ENJSA_BS!I51,"-")</f>
        <v>4.2820622673188442</v>
      </c>
      <c r="I38" s="204">
        <f>IFERROR(ENJSA_CFS!J14/ENJSA_BS!J51,"-")</f>
        <v>3.2770490123777698</v>
      </c>
      <c r="J38" s="205">
        <f>IFERROR(ENJSA_CFS!K14/ENJSA_BS!K51,"-")</f>
        <v>3.1430289000896647</v>
      </c>
      <c r="K38" s="205" t="str">
        <f>IFERROR(ENJSA_CFS!L14/ENJSA_BS!L51,"-")</f>
        <v>-</v>
      </c>
    </row>
    <row r="39" spans="1:15" ht="15" customHeight="1" x14ac:dyDescent="0.2">
      <c r="A39" s="141" t="s">
        <v>580</v>
      </c>
      <c r="B39" s="201" t="s">
        <v>246</v>
      </c>
      <c r="C39" s="201"/>
      <c r="D39" s="204">
        <f>IFERROR(ABS(ENJSA_CFS!B30)/ENJSA_BS!B51,"-")</f>
        <v>3.4131477500467797</v>
      </c>
      <c r="E39" s="204">
        <f>IFERROR(ABS(ENJSA_CFS!D30)/ENJSA_BS!D51,"-")</f>
        <v>3.3929347057623223</v>
      </c>
      <c r="F39" s="204">
        <f>IFERROR(ABS(ENJSA_CFS!F30)/ENJSA_BS!F51,"-")</f>
        <v>3.3680403092452686</v>
      </c>
      <c r="G39" s="204">
        <f>IFERROR(ABS(ENJSA_CFS!H30)/ENJSA_BS!G51,"-")</f>
        <v>1.65861851368199</v>
      </c>
      <c r="H39" s="204">
        <f>IFERROR(ABS(ENJSA_CFS!I30)/ENJSA_BS!I51,"-")</f>
        <v>0.95999979679426006</v>
      </c>
      <c r="I39" s="204">
        <f>IFERROR(ABS(ENJSA_CFS!J30)/ENJSA_BS!J51,"-")</f>
        <v>0.59999966132376681</v>
      </c>
      <c r="J39" s="206">
        <f>IFERROR(ABS(ENJSA_CFS!K30)/ENJSA_BS!K51,"-")</f>
        <v>0.39999949198565027</v>
      </c>
      <c r="K39" s="206" t="str">
        <f>IFERROR(ABS(ENJSA_CFS!L30)/ENJSA_BS!L51,"-")</f>
        <v>-</v>
      </c>
    </row>
    <row r="40" spans="1:15" ht="15" customHeight="1" x14ac:dyDescent="0.2">
      <c r="B40" s="207"/>
      <c r="C40" s="207"/>
    </row>
    <row r="41" spans="1:15" ht="15" customHeight="1" x14ac:dyDescent="0.2">
      <c r="A41" s="166" t="s">
        <v>711</v>
      </c>
      <c r="B41" s="166" t="s">
        <v>712</v>
      </c>
      <c r="C41" s="166"/>
      <c r="D41" s="166"/>
      <c r="E41" s="166"/>
      <c r="F41" s="166"/>
      <c r="G41" s="166"/>
      <c r="H41" s="166"/>
      <c r="I41" s="166"/>
      <c r="J41" s="200"/>
      <c r="K41" s="200"/>
    </row>
    <row r="42" spans="1:15" ht="15" customHeight="1" x14ac:dyDescent="0.2">
      <c r="A42" s="141" t="s">
        <v>584</v>
      </c>
      <c r="B42" s="201"/>
      <c r="C42" s="201"/>
      <c r="D42" s="208">
        <v>84.55</v>
      </c>
      <c r="E42" s="208">
        <v>56.75</v>
      </c>
      <c r="F42" s="208">
        <v>42.08</v>
      </c>
      <c r="G42" s="208">
        <v>31.02</v>
      </c>
      <c r="H42" s="208">
        <v>12.28</v>
      </c>
      <c r="I42" s="208">
        <v>8.0500000000000007</v>
      </c>
      <c r="J42" s="209">
        <v>6.47</v>
      </c>
      <c r="K42" s="209">
        <v>3.67</v>
      </c>
      <c r="L42" t="s">
        <v>713</v>
      </c>
    </row>
    <row r="43" spans="1:15" ht="15" customHeight="1" x14ac:dyDescent="0.2">
      <c r="A43" s="141" t="s">
        <v>587</v>
      </c>
      <c r="B43" s="201" t="s">
        <v>714</v>
      </c>
      <c r="C43" s="201"/>
      <c r="D43" s="210">
        <f>D42*ENJSA_BS!B51</f>
        <v>99859383.950000003</v>
      </c>
      <c r="E43" s="210">
        <f>E42*ENJSA_BS!D51</f>
        <v>67025665.75</v>
      </c>
      <c r="F43" s="210">
        <f>F42*ENJSA_BS!F51</f>
        <v>49699383.519999996</v>
      </c>
      <c r="G43" s="210">
        <f>G42*ENJSA_BS!G51</f>
        <v>36636760.380000003</v>
      </c>
      <c r="H43" s="210">
        <f>H42*ENJSA_BS!I51</f>
        <v>14503527.319999998</v>
      </c>
      <c r="I43" s="210">
        <f>I42*ENJSA_BS!J51</f>
        <v>9507605.4500000011</v>
      </c>
      <c r="J43" s="211">
        <f>J42*ENJSA_BS!K51</f>
        <v>7641516.4299999997</v>
      </c>
      <c r="K43" s="211">
        <f>K42*ENJSA_BS!L51</f>
        <v>0</v>
      </c>
    </row>
    <row r="44" spans="1:15" ht="15" customHeight="1" x14ac:dyDescent="0.2">
      <c r="A44" s="141" t="s">
        <v>589</v>
      </c>
      <c r="B44" s="201" t="s">
        <v>715</v>
      </c>
      <c r="C44" s="201" t="s">
        <v>591</v>
      </c>
      <c r="D44" s="212">
        <f>IFERROR(IF(ENJSA_PLS!B21&gt;0,D43/ENJSA_PLS!B21,"N/A (Zarar)"),"-")</f>
        <v>31.488648423571288</v>
      </c>
      <c r="E44" s="213" t="str">
        <f>IFERROR(IF(ENJSA_PLS!D21&gt;0,E43/ENJSA_PLS!D21,"N/A (Zarar)"),"-")</f>
        <v>N/A (Zarar)</v>
      </c>
      <c r="F44" s="214">
        <f>IFERROR(IF(ENJSA_PLS!F21&gt;0,F43/ENJSA_PLS!F21,"N/A (Zarar)"),"-")</f>
        <v>11.00194750611313</v>
      </c>
      <c r="G44" s="214">
        <f>IFERROR(IF(ENJSA_PLS!G21&gt;0,G43/ENJSA_PLS!G21,"N/A (Zarar)"),"-")</f>
        <v>1.7755048026223967</v>
      </c>
      <c r="H44" s="214">
        <f>IFERROR(IF(ENJSA_PLS!I21&gt;0,H43/ENJSA_PLS!I21,"N/A (Zarar)"),"-")</f>
        <v>6.3545963315293585</v>
      </c>
      <c r="I44" s="214">
        <f>IFERROR(IF(ENJSA_PLS!J21&gt;0,I43/ENJSA_PLS!J21,"N/A (Zarar)"),"-")</f>
        <v>8.7411547757940511</v>
      </c>
      <c r="J44" s="215">
        <f>IFERROR(IF(ENJSA_PLS!K21&gt;0,J43/ENJSA_PLS!K21,"N/A (Zarar)"),"-")</f>
        <v>7.3929506434654062</v>
      </c>
      <c r="K44" s="215" t="str">
        <f>IFERROR(IF(ENJSA_PLS!L21&gt;0,K43/ENJSA_PLS!L21,"N/A (Zarar)"),"-")</f>
        <v>N/A (Zarar)</v>
      </c>
      <c r="O44" s="216"/>
    </row>
    <row r="45" spans="1:15" ht="15" customHeight="1" x14ac:dyDescent="0.2">
      <c r="A45" s="141" t="s">
        <v>592</v>
      </c>
      <c r="B45" s="201" t="s">
        <v>716</v>
      </c>
      <c r="C45" s="201" t="s">
        <v>594</v>
      </c>
      <c r="D45" s="212">
        <f>IFERROR(D43/ENJSA_BS!B58,"-")</f>
        <v>1.0427173849438951</v>
      </c>
      <c r="E45" s="214">
        <f>IFERROR(E43/ENJSA_BS!D58,"-")</f>
        <v>0.9002046919559018</v>
      </c>
      <c r="F45" s="214">
        <f>IFERROR(F43/ENJSA_BS!F58,"-")</f>
        <v>0.8603015274817124</v>
      </c>
      <c r="G45" s="214">
        <f>IFERROR(G43/ENJSA_BS!G58,"-")</f>
        <v>0.62287398899836544</v>
      </c>
      <c r="H45" s="214">
        <f>IFERROR(H43/ENJSA_BS!I58,"-")</f>
        <v>1.5588107296619835</v>
      </c>
      <c r="I45" s="214">
        <f>IFERROR(I43/ENJSA_BS!J58,"-")</f>
        <v>1.335946900792131</v>
      </c>
      <c r="J45" s="215">
        <f>IFERROR(J43/ENJSA_BS!K58,"-")</f>
        <v>0.86803592569360366</v>
      </c>
      <c r="K45" s="215" t="str">
        <f>IFERROR(K43/ENJSA_BS!L58,"-")</f>
        <v>-</v>
      </c>
    </row>
    <row r="46" spans="1:15" ht="15" customHeight="1" x14ac:dyDescent="0.2">
      <c r="A46" s="141" t="s">
        <v>595</v>
      </c>
      <c r="B46" s="201" t="s">
        <v>717</v>
      </c>
      <c r="C46" s="201" t="s">
        <v>596</v>
      </c>
      <c r="D46" s="212">
        <f>IFERROR((D43+ENJSA_BS!B29+ENJSA_BS!B30+ENJSA_BS!B31+ENJSA_BS!B41+ENJSA_BS!B42-ENJSA_BS!B5)/ENJSA_PLS!B12,"-")</f>
        <v>3.6442283148398138</v>
      </c>
      <c r="E46" s="214">
        <f>IFERROR((E43+ENJSA_BS!D29+ENJSA_BS!D30+ENJSA_BS!D31+ENJSA_BS!D41+ENJSA_BS!D42-ENJSA_BS!D5)/ENJSA_PLS!D12,"-")</f>
        <v>3.4734913550168529</v>
      </c>
      <c r="F46" s="214">
        <f>IFERROR((F43+ENJSA_BS!F29+ENJSA_BS!F30+ENJSA_BS!F31+ENJSA_BS!F41+ENJSA_BS!F42-ENJSA_BS!F5)/ENJSA_PLS!F12,"-")</f>
        <v>4.2043160256671763</v>
      </c>
      <c r="G46" s="214">
        <f>IFERROR((G43+ENJSA_BS!G29+ENJSA_BS!G30+ENJSA_BS!G31+ENJSA_BS!G41+ENJSA_BS!G42-ENJSA_BS!G5)/ENJSA_PLS!H12,"-")</f>
        <v>5.2949069475245993</v>
      </c>
      <c r="H46" s="214">
        <f>IFERROR((H43+ENJSA_BS!I29+ENJSA_BS!I30+ENJSA_BS!I31+ENJSA_BS!I41+ENJSA_BS!I42-ENJSA_BS!I5)/ENJSA_PLS!I12,"-")</f>
        <v>4.5145994649086161</v>
      </c>
      <c r="I46" s="214">
        <f>IFERROR((I43+ENJSA_BS!J29+ENJSA_BS!J30+ENJSA_BS!J31+ENJSA_BS!J41+ENJSA_BS!J42-ENJSA_BS!J5)/ENJSA_PLS!J12,"-")</f>
        <v>5.3597111749669066</v>
      </c>
      <c r="J46" s="215">
        <f>IFERROR((J43+ENJSA_BS!K29+ENJSA_BS!K30+ENJSA_BS!K31+ENJSA_BS!K41+ENJSA_BS!K42-ENJSA_BS!K5)/ENJSA_PLS!K12,"-")</f>
        <v>4.5120111353197725</v>
      </c>
      <c r="K46" s="215" t="str">
        <f>IFERROR((K43+ENJSA_BS!L29+ENJSA_BS!L30+ENJSA_BS!L31+ENJSA_BS!L41+ENJSA_BS!L42-ENJSA_BS!L5)/ENJSA_PLS!L12,"-")</f>
        <v>-</v>
      </c>
    </row>
    <row r="47" spans="1:15" ht="15" customHeight="1" x14ac:dyDescent="0.2">
      <c r="A47" s="141" t="s">
        <v>597</v>
      </c>
      <c r="B47" s="201" t="s">
        <v>718</v>
      </c>
      <c r="C47" s="201" t="s">
        <v>599</v>
      </c>
      <c r="D47" s="217">
        <f t="shared" ref="D47:K47" si="0">IFERROR(D39/D42,"-")</f>
        <v>4.0368394441712356E-2</v>
      </c>
      <c r="E47" s="218">
        <f t="shared" si="0"/>
        <v>5.9787395696252375E-2</v>
      </c>
      <c r="F47" s="218">
        <f t="shared" si="0"/>
        <v>8.0038980733014936E-2</v>
      </c>
      <c r="G47" s="218">
        <f t="shared" si="0"/>
        <v>5.3469326682204707E-2</v>
      </c>
      <c r="H47" s="218">
        <f t="shared" si="0"/>
        <v>7.8175879217773622E-2</v>
      </c>
      <c r="I47" s="218">
        <f t="shared" si="0"/>
        <v>7.4534119419101458E-2</v>
      </c>
      <c r="J47" s="219">
        <f t="shared" si="0"/>
        <v>6.1823723645386443E-2</v>
      </c>
      <c r="K47" s="219" t="str">
        <f t="shared" si="0"/>
        <v>-</v>
      </c>
    </row>
    <row r="48" spans="1:15" ht="15" customHeight="1" x14ac:dyDescent="0.2">
      <c r="A48" s="141" t="s">
        <v>719</v>
      </c>
      <c r="B48" s="201" t="s">
        <v>720</v>
      </c>
      <c r="C48" s="201" t="s">
        <v>237</v>
      </c>
      <c r="D48" s="217">
        <f>IFERROR((ENJSA_CFS!B14+ENJSA_CFS!B21)/D43,"-")</f>
        <v>0.15783725451272423</v>
      </c>
      <c r="E48" s="218">
        <f>IFERROR((ENJSA_CFS!D14+ENJSA_CFS!D21)/E43,"-")</f>
        <v>0.1279286808128422</v>
      </c>
      <c r="F48" s="218">
        <f>IFERROR((ENJSA_CFS!F14+ENJSA_CFS!F21)/F43,"-")</f>
        <v>-0.16144715349982275</v>
      </c>
      <c r="G48" s="218">
        <f>IFERROR((ENJSA_CFS!H14+ENJSA_CFS!H21)/G43,"-")</f>
        <v>0.13357706456584451</v>
      </c>
      <c r="H48" s="218">
        <f>IFERROR((ENJSA_CFS!I14+ENJSA_CFS!I21)/H43,"-")</f>
        <v>0.12352119318792032</v>
      </c>
      <c r="I48" s="218">
        <f>IFERROR((ENJSA_CFS!J14+ENJSA_CFS!J21)/I43,"-")</f>
        <v>0.1727714731788749</v>
      </c>
      <c r="J48" s="219">
        <f>IFERROR((ENJSA_CFS!K14+ENJSA_CFS!K21)/J43,"-")</f>
        <v>0.28963033977275637</v>
      </c>
      <c r="K48" s="219" t="str">
        <f>IFERROR((ENJSA_CFS!L14+ENJSA_CFS!L21)/K43,"-")</f>
        <v>-</v>
      </c>
    </row>
    <row r="49" spans="1:11" ht="15" customHeight="1" x14ac:dyDescent="0.2">
      <c r="A49" s="141" t="s">
        <v>600</v>
      </c>
      <c r="B49" s="201" t="s">
        <v>721</v>
      </c>
      <c r="C49" s="201" t="s">
        <v>602</v>
      </c>
      <c r="D49" s="212">
        <f>IFERROR(D43/ENJSA_CFS!B14,"-")</f>
        <v>2.4656349441737397</v>
      </c>
      <c r="E49" s="214">
        <f>IFERROR(E43/ENJSA_CFS!D14,"-")</f>
        <v>2.7221010662935594</v>
      </c>
      <c r="F49" s="214">
        <f>IFERROR(F43/ENJSA_CFS!F14,"-")</f>
        <v>7.681360170927066</v>
      </c>
      <c r="G49" s="214">
        <f>IFERROR(G43/ENJSA_CFS!H14,"-")</f>
        <v>3.1138708045751211</v>
      </c>
      <c r="H49" s="214">
        <f>IFERROR(H43/ENJSA_CFS!I14,"-")</f>
        <v>2.8677770740799984</v>
      </c>
      <c r="I49" s="214">
        <f>IFERROR(I43/ENJSA_CFS!J14,"-")</f>
        <v>2.4564783650150721</v>
      </c>
      <c r="J49" s="215">
        <f>IFERROR(J43/ENJSA_CFS!K14,"-")</f>
        <v>2.0585238652483988</v>
      </c>
      <c r="K49" s="215" t="str">
        <f>IFERROR(K43/ENJSA_CFS!L14,"-")</f>
        <v>-</v>
      </c>
    </row>
    <row r="50" spans="1:11" ht="15" customHeight="1" x14ac:dyDescent="0.2">
      <c r="B50" s="207"/>
      <c r="C50" s="207"/>
    </row>
    <row r="51" spans="1:11" ht="15" customHeight="1" x14ac:dyDescent="0.2">
      <c r="B51" s="207"/>
      <c r="C51" s="207"/>
    </row>
  </sheetData>
  <mergeCells count="7">
    <mergeCell ref="A21:K21"/>
    <mergeCell ref="A29:K29"/>
    <mergeCell ref="A1:J1"/>
    <mergeCell ref="A2:J2"/>
    <mergeCell ref="A4:K4"/>
    <mergeCell ref="A8:K8"/>
    <mergeCell ref="A15:K1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47" customWidth="1"/>
    <col min="2" max="9" width="9" customWidth="1"/>
  </cols>
  <sheetData>
    <row r="1" spans="1:9" ht="18" customHeight="1" x14ac:dyDescent="0.2">
      <c r="A1" s="259" t="s">
        <v>722</v>
      </c>
      <c r="B1" s="259"/>
      <c r="C1" s="259"/>
      <c r="D1" s="259"/>
      <c r="E1" s="259"/>
      <c r="F1" s="259"/>
      <c r="G1" s="259"/>
      <c r="H1" s="259"/>
      <c r="I1" s="259"/>
    </row>
    <row r="2" spans="1:9" ht="13.5" customHeight="1" x14ac:dyDescent="0.2">
      <c r="A2" s="220" t="s">
        <v>723</v>
      </c>
      <c r="B2" s="220"/>
      <c r="C2" s="220"/>
      <c r="D2" s="220"/>
      <c r="E2" s="220"/>
      <c r="F2" s="220"/>
      <c r="G2" s="220"/>
      <c r="H2" s="220"/>
      <c r="I2" s="220"/>
    </row>
    <row r="3" spans="1:9" ht="13.5" customHeight="1" x14ac:dyDescent="0.2">
      <c r="A3" s="221" t="s">
        <v>45</v>
      </c>
      <c r="B3" s="184">
        <v>2025</v>
      </c>
      <c r="C3" s="184">
        <v>2024</v>
      </c>
      <c r="D3" s="184">
        <v>2023</v>
      </c>
      <c r="E3" s="184">
        <v>2022</v>
      </c>
      <c r="F3" s="184">
        <v>2021</v>
      </c>
      <c r="G3" s="184">
        <v>2020</v>
      </c>
      <c r="H3" s="184">
        <v>2019</v>
      </c>
      <c r="I3" s="184">
        <v>2018</v>
      </c>
    </row>
    <row r="4" spans="1:9" ht="13.5" customHeight="1" x14ac:dyDescent="0.2">
      <c r="A4" s="222" t="s">
        <v>277</v>
      </c>
      <c r="B4" s="223"/>
      <c r="C4" s="223"/>
      <c r="D4" s="223"/>
      <c r="E4" s="223"/>
      <c r="F4" s="223"/>
      <c r="G4" s="223"/>
      <c r="H4" s="223"/>
      <c r="I4" s="223"/>
    </row>
    <row r="5" spans="1:9" ht="13.5" customHeight="1" x14ac:dyDescent="0.2">
      <c r="A5" s="187" t="s">
        <v>410</v>
      </c>
      <c r="B5" s="224">
        <f>IFERROR(ENJSA_BS!B5/ENJSA_BS!B25,"")</f>
        <v>1.751493639832119E-2</v>
      </c>
      <c r="C5" s="224">
        <f>IFERROR(ENJSA_BS!D5/ENJSA_BS!D25,"")</f>
        <v>5.2782984601182859E-2</v>
      </c>
      <c r="D5" s="224">
        <f>IFERROR(ENJSA_BS!F5/ENJSA_BS!F25,"")</f>
        <v>3.4076677238315353E-2</v>
      </c>
      <c r="E5" s="224">
        <f>IFERROR(ENJSA_BS!G5/ENJSA_BS!G25,"")</f>
        <v>0.10937850973879039</v>
      </c>
      <c r="F5" s="224">
        <f>IFERROR(ENJSA_BS!I5/ENJSA_BS!I25,"")</f>
        <v>1.3096810098701322E-2</v>
      </c>
      <c r="G5" s="224">
        <f>IFERROR(ENJSA_BS!J5/ENJSA_BS!J25,"")</f>
        <v>2.3842942534218901E-2</v>
      </c>
      <c r="H5" s="224">
        <f>IFERROR(ENJSA_BS!K5/ENJSA_BS!K25,"")</f>
        <v>1.9997277428734909E-2</v>
      </c>
      <c r="I5" s="224" t="str">
        <f>IFERROR(ENJSA_BS!L5/ENJSA_BS!L25,"")</f>
        <v/>
      </c>
    </row>
    <row r="6" spans="1:9" ht="13.5" customHeight="1" x14ac:dyDescent="0.2">
      <c r="A6" s="187" t="s">
        <v>724</v>
      </c>
      <c r="B6" s="224">
        <f>IFERROR(ENJSA_BS!B6/ENJSA_BS!B25,"")</f>
        <v>4.5724748876230965E-2</v>
      </c>
      <c r="C6" s="224">
        <f>IFERROR(ENJSA_BS!D6/ENJSA_BS!D25,"")</f>
        <v>4.823812678572742E-2</v>
      </c>
      <c r="D6" s="224">
        <f>IFERROR(ENJSA_BS!F6/ENJSA_BS!F25,"")</f>
        <v>4.5116200519663377E-2</v>
      </c>
      <c r="E6" s="224">
        <f>IFERROR(ENJSA_BS!G6/ENJSA_BS!G25,"")</f>
        <v>4.3673138628630689E-2</v>
      </c>
      <c r="F6" s="224">
        <f>IFERROR(ENJSA_BS!I6/ENJSA_BS!I25,"")</f>
        <v>0.10542176823021562</v>
      </c>
      <c r="G6" s="224">
        <f>IFERROR(ENJSA_BS!J6/ENJSA_BS!J25,"")</f>
        <v>9.5121743137038375E-2</v>
      </c>
      <c r="H6" s="224">
        <f>IFERROR(ENJSA_BS!K6/ENJSA_BS!K25,"")</f>
        <v>4.6761736448801654E-2</v>
      </c>
      <c r="I6" s="224" t="str">
        <f>IFERROR(ENJSA_BS!L6/ENJSA_BS!L25,"")</f>
        <v/>
      </c>
    </row>
    <row r="7" spans="1:9" ht="13.5" customHeight="1" x14ac:dyDescent="0.2">
      <c r="A7" s="187" t="s">
        <v>725</v>
      </c>
      <c r="B7" s="224">
        <f>IFERROR(ENJSA_BS!B7/ENJSA_BS!B25,"")</f>
        <v>0.14314706244011927</v>
      </c>
      <c r="C7" s="224">
        <f>IFERROR(ENJSA_BS!D7/ENJSA_BS!D25,"")</f>
        <v>0.11378029168548746</v>
      </c>
      <c r="D7" s="224">
        <f>IFERROR(ENJSA_BS!F7/ENJSA_BS!F25,"")</f>
        <v>0.11759305265470803</v>
      </c>
      <c r="E7" s="224">
        <f>IFERROR(ENJSA_BS!G7/ENJSA_BS!G25,"")</f>
        <v>7.4315446549991448E-2</v>
      </c>
      <c r="F7" s="224">
        <f>IFERROR(ENJSA_BS!I7/ENJSA_BS!I25,"")</f>
        <v>0.17715384959439312</v>
      </c>
      <c r="G7" s="224">
        <f>IFERROR(ENJSA_BS!J7/ENJSA_BS!J25,"")</f>
        <v>0.11924764720623185</v>
      </c>
      <c r="H7" s="224">
        <f>IFERROR(ENJSA_BS!K7/ENJSA_BS!K25,"")</f>
        <v>0.12810280967141086</v>
      </c>
      <c r="I7" s="224" t="str">
        <f>IFERROR(ENJSA_BS!L7/ENJSA_BS!L25,"")</f>
        <v/>
      </c>
    </row>
    <row r="8" spans="1:9" ht="13.5" customHeight="1" x14ac:dyDescent="0.2">
      <c r="A8" s="187" t="s">
        <v>413</v>
      </c>
      <c r="B8" s="224">
        <f>IFERROR(ENJSA_BS!B8/ENJSA_BS!B25,"")</f>
        <v>4.912258279854545E-2</v>
      </c>
      <c r="C8" s="224">
        <f>IFERROR(ENJSA_BS!D8/ENJSA_BS!D25,"")</f>
        <v>3.4616064995813295E-2</v>
      </c>
      <c r="D8" s="224">
        <f>IFERROR(ENJSA_BS!F8/ENJSA_BS!F25,"")</f>
        <v>4.1491225366045811E-2</v>
      </c>
      <c r="E8" s="224">
        <f>IFERROR(ENJSA_BS!G8/ENJSA_BS!G25,"")</f>
        <v>2.433362592142848E-2</v>
      </c>
      <c r="F8" s="224">
        <f>IFERROR(ENJSA_BS!I8/ENJSA_BS!I25,"")</f>
        <v>3.7942259175582395E-2</v>
      </c>
      <c r="G8" s="224">
        <f>IFERROR(ENJSA_BS!J8/ENJSA_BS!J25,"")</f>
        <v>2.3857161503263436E-2</v>
      </c>
      <c r="H8" s="224">
        <f>IFERROR(ENJSA_BS!K8/ENJSA_BS!K25,"")</f>
        <v>4.3522234204297898E-2</v>
      </c>
      <c r="I8" s="224" t="str">
        <f>IFERROR(ENJSA_BS!L8/ENJSA_BS!L25,"")</f>
        <v/>
      </c>
    </row>
    <row r="9" spans="1:9" ht="13.5" customHeight="1" x14ac:dyDescent="0.2">
      <c r="A9" s="187" t="s">
        <v>415</v>
      </c>
      <c r="B9" s="224">
        <f>IFERROR(ENJSA_BS!B10/ENJSA_BS!B25,"")</f>
        <v>1.4881743671954115E-2</v>
      </c>
      <c r="C9" s="224">
        <f>IFERROR(ENJSA_BS!D10/ENJSA_BS!D25,"")</f>
        <v>2.143939926068739E-2</v>
      </c>
      <c r="D9" s="224">
        <f>IFERROR(ENJSA_BS!F10/ENJSA_BS!F25,"")</f>
        <v>2.9877706741585148E-2</v>
      </c>
      <c r="E9" s="224">
        <f>IFERROR(ENJSA_BS!G10/ENJSA_BS!G25,"")</f>
        <v>2.4579826551747133E-2</v>
      </c>
      <c r="F9" s="224">
        <f>IFERROR(ENJSA_BS!I10/ENJSA_BS!I25,"")</f>
        <v>1.4223984151789127E-2</v>
      </c>
      <c r="G9" s="224">
        <f>IFERROR(ENJSA_BS!J10/ENJSA_BS!J25,"")</f>
        <v>6.8680051078101679E-3</v>
      </c>
      <c r="H9" s="224">
        <f>IFERROR(ENJSA_BS!K10/ENJSA_BS!K25,"")</f>
        <v>5.6168143549485457E-3</v>
      </c>
      <c r="I9" s="224" t="str">
        <f>IFERROR(ENJSA_BS!L10/ENJSA_BS!L25,"")</f>
        <v/>
      </c>
    </row>
    <row r="10" spans="1:9" ht="13.5" customHeight="1" x14ac:dyDescent="0.2">
      <c r="A10" s="187" t="s">
        <v>418</v>
      </c>
      <c r="B10" s="224">
        <f>IFERROR(ENJSA_BS!B12/ENJSA_BS!B25,"")</f>
        <v>3.4501352426476776E-3</v>
      </c>
      <c r="C10" s="224">
        <f>IFERROR(ENJSA_BS!D12/ENJSA_BS!D25,"")</f>
        <v>8.1222958841746171E-3</v>
      </c>
      <c r="D10" s="224">
        <f>IFERROR(ENJSA_BS!F12/ENJSA_BS!F25,"")</f>
        <v>1.7649675455674477E-2</v>
      </c>
      <c r="E10" s="224">
        <f>IFERROR(ENJSA_BS!G12/ENJSA_BS!G25,"")</f>
        <v>8.8931026790723593E-4</v>
      </c>
      <c r="F10" s="224">
        <f>IFERROR(ENJSA_BS!I12/ENJSA_BS!I25,"")</f>
        <v>1.6706386481464427E-3</v>
      </c>
      <c r="G10" s="224">
        <f>IFERROR(ENJSA_BS!J12/ENJSA_BS!J25,"")</f>
        <v>3.1427567477920293E-4</v>
      </c>
      <c r="H10" s="224">
        <f>IFERROR(ENJSA_BS!K12/ENJSA_BS!K25,"")</f>
        <v>1.0513994722911118E-5</v>
      </c>
      <c r="I10" s="224" t="str">
        <f>IFERROR(ENJSA_BS!L12/ENJSA_BS!L25,"")</f>
        <v/>
      </c>
    </row>
    <row r="11" spans="1:9" ht="13.5" customHeight="1" x14ac:dyDescent="0.2">
      <c r="A11" s="222" t="s">
        <v>56</v>
      </c>
      <c r="B11" s="225">
        <f>IFERROR(ENJSA_BS!B13/ENJSA_BS!B25,"")</f>
        <v>0.2798560079562718</v>
      </c>
      <c r="C11" s="225">
        <f>IFERROR(ENJSA_BS!D13/ENJSA_BS!D25,"")</f>
        <v>0.28589054326724955</v>
      </c>
      <c r="D11" s="225">
        <f>IFERROR(ENJSA_BS!F13/ENJSA_BS!F25,"")</f>
        <v>0.30801333534567327</v>
      </c>
      <c r="E11" s="225">
        <f>IFERROR(ENJSA_BS!G13/ENJSA_BS!G25,"")</f>
        <v>0.29178312235878712</v>
      </c>
      <c r="F11" s="225">
        <f>IFERROR(ENJSA_BS!I13/ENJSA_BS!I25,"")</f>
        <v>0.40676013880472311</v>
      </c>
      <c r="G11" s="225">
        <f>IFERROR(ENJSA_BS!J13/ENJSA_BS!J25,"")</f>
        <v>0.27250034372635995</v>
      </c>
      <c r="H11" s="225">
        <f>IFERROR(ENJSA_BS!K13/ENJSA_BS!K25,"")</f>
        <v>0.24611261007662957</v>
      </c>
      <c r="I11" s="225" t="str">
        <f>IFERROR(ENJSA_BS!L13/ENJSA_BS!L25,"")</f>
        <v/>
      </c>
    </row>
    <row r="12" spans="1:9" ht="13.5" customHeight="1" x14ac:dyDescent="0.2">
      <c r="A12" s="222" t="s">
        <v>284</v>
      </c>
      <c r="B12" s="226"/>
      <c r="C12" s="226"/>
      <c r="D12" s="226"/>
      <c r="E12" s="226"/>
      <c r="F12" s="226"/>
      <c r="G12" s="226"/>
      <c r="H12" s="226"/>
      <c r="I12" s="226"/>
    </row>
    <row r="13" spans="1:9" ht="13.5" customHeight="1" x14ac:dyDescent="0.2">
      <c r="A13" s="187" t="s">
        <v>726</v>
      </c>
      <c r="B13" s="224">
        <f>IFERROR(ENJSA_BS!B17/ENJSA_BS!B25,"")</f>
        <v>0.22311232772464157</v>
      </c>
      <c r="C13" s="224">
        <f>IFERROR(ENJSA_BS!D17/ENJSA_BS!D25,"")</f>
        <v>0.19203171264860819</v>
      </c>
      <c r="D13" s="224">
        <f>IFERROR(ENJSA_BS!F17/ENJSA_BS!F25,"")</f>
        <v>0.19530931944350402</v>
      </c>
      <c r="E13" s="224">
        <f>IFERROR(ENJSA_BS!G17/ENJSA_BS!G25,"")</f>
        <v>0.15405484040335762</v>
      </c>
      <c r="F13" s="224">
        <f>IFERROR(ENJSA_BS!I17/ENJSA_BS!I25,"")</f>
        <v>0.30318244995912097</v>
      </c>
      <c r="G13" s="224">
        <f>IFERROR(ENJSA_BS!J17/ENJSA_BS!J25,"")</f>
        <v>0.36952499812236689</v>
      </c>
      <c r="H13" s="224">
        <f>IFERROR(ENJSA_BS!K17/ENJSA_BS!K25,"")</f>
        <v>0.40205541360480268</v>
      </c>
      <c r="I13" s="224" t="str">
        <f>IFERROR(ENJSA_BS!L17/ENJSA_BS!L25,"")</f>
        <v/>
      </c>
    </row>
    <row r="14" spans="1:9" ht="13.5" customHeight="1" x14ac:dyDescent="0.2">
      <c r="A14" s="187" t="s">
        <v>421</v>
      </c>
      <c r="B14" s="224">
        <f>IFERROR(ENJSA_BS!B19/ENJSA_BS!B25,"")</f>
        <v>5.7358546607205303E-2</v>
      </c>
      <c r="C14" s="224">
        <f>IFERROR(ENJSA_BS!D19/ENJSA_BS!D25,"")</f>
        <v>5.5381119909301002E-2</v>
      </c>
      <c r="D14" s="224">
        <f>IFERROR(ENJSA_BS!F19/ENJSA_BS!F25,"")</f>
        <v>4.9885774775310573E-2</v>
      </c>
      <c r="E14" s="224">
        <f>IFERROR(ENJSA_BS!G19/ENJSA_BS!G25,"")</f>
        <v>4.6625254441813202E-2</v>
      </c>
      <c r="F14" s="224">
        <f>IFERROR(ENJSA_BS!I19/ENJSA_BS!I25,"")</f>
        <v>4.5906100851019906E-2</v>
      </c>
      <c r="G14" s="224">
        <f>IFERROR(ENJSA_BS!J19/ENJSA_BS!J25,"")</f>
        <v>3.6550244772867974E-2</v>
      </c>
      <c r="H14" s="224">
        <f>IFERROR(ENJSA_BS!K19/ENJSA_BS!K25,"")</f>
        <v>2.0582868624698828E-2</v>
      </c>
      <c r="I14" s="224" t="str">
        <f>IFERROR(ENJSA_BS!L19/ENJSA_BS!L25,"")</f>
        <v/>
      </c>
    </row>
    <row r="15" spans="1:9" ht="13.5" customHeight="1" x14ac:dyDescent="0.2">
      <c r="A15" s="187" t="s">
        <v>423</v>
      </c>
      <c r="B15" s="224">
        <f>IFERROR(ENJSA_BS!B20/ENJSA_BS!B25,"")</f>
        <v>0.24085839748410826</v>
      </c>
      <c r="C15" s="224">
        <f>IFERROR(ENJSA_BS!D20/ENJSA_BS!D25,"")</f>
        <v>0.25771611766938629</v>
      </c>
      <c r="D15" s="224">
        <f>IFERROR(ENJSA_BS!F20/ENJSA_BS!F25,"")</f>
        <v>0.2557674646297135</v>
      </c>
      <c r="E15" s="224">
        <f>IFERROR(ENJSA_BS!G20/ENJSA_BS!G25,"")</f>
        <v>0.28070385609645715</v>
      </c>
      <c r="F15" s="224">
        <f>IFERROR(ENJSA_BS!I20/ENJSA_BS!I25,"")</f>
        <v>0.19790029897864198</v>
      </c>
      <c r="G15" s="224">
        <f>IFERROR(ENJSA_BS!J20/ENJSA_BS!J25,"")</f>
        <v>0.25752278660681682</v>
      </c>
      <c r="H15" s="224">
        <f>IFERROR(ENJSA_BS!K20/ENJSA_BS!K25,"")</f>
        <v>0.27874451665378452</v>
      </c>
      <c r="I15" s="224" t="str">
        <f>IFERROR(ENJSA_BS!L20/ENJSA_BS!L25,"")</f>
        <v/>
      </c>
    </row>
    <row r="16" spans="1:9" ht="13.5" customHeight="1" x14ac:dyDescent="0.2">
      <c r="A16" s="187" t="s">
        <v>425</v>
      </c>
      <c r="B16" s="224">
        <f>IFERROR(ENJSA_BS!B22/ENJSA_BS!B25,"")</f>
        <v>0.13211131620394612</v>
      </c>
      <c r="C16" s="224">
        <f>IFERROR(ENJSA_BS!D22/ENJSA_BS!D25,"")</f>
        <v>0.13553658244231961</v>
      </c>
      <c r="D16" s="224">
        <f>IFERROR(ENJSA_BS!F22/ENJSA_BS!F25,"")</f>
        <v>0.15921313550868735</v>
      </c>
      <c r="E16" s="224">
        <f>IFERROR(ENJSA_BS!G22/ENJSA_BS!G25,"")</f>
        <v>0.1551479103000869</v>
      </c>
      <c r="F16" s="224">
        <f>IFERROR(ENJSA_BS!I22/ENJSA_BS!I25,"")</f>
        <v>1.0137541110715621E-2</v>
      </c>
      <c r="G16" s="224">
        <f>IFERROR(ENJSA_BS!J22/ENJSA_BS!J25,"")</f>
        <v>1.4665631017996353E-2</v>
      </c>
      <c r="H16" s="224">
        <f>IFERROR(ENJSA_BS!K22/ENJSA_BS!K25,"")</f>
        <v>1.0387997053357204E-2</v>
      </c>
      <c r="I16" s="224" t="str">
        <f>IFERROR(ENJSA_BS!L22/ENJSA_BS!L25,"")</f>
        <v/>
      </c>
    </row>
    <row r="17" spans="1:9" ht="13.5" customHeight="1" x14ac:dyDescent="0.2">
      <c r="A17" s="187" t="s">
        <v>621</v>
      </c>
      <c r="B17" s="224">
        <f>IFERROR(ENJSA_BS!B23/ENJSA_BS!B25,"")</f>
        <v>7.6144754212147537E-5</v>
      </c>
      <c r="C17" s="224">
        <f>IFERROR(ENJSA_BS!D23/ENJSA_BS!D25,"")</f>
        <v>1.1758954309911828E-4</v>
      </c>
      <c r="D17" s="224">
        <f>IFERROR(ENJSA_BS!F23/ENJSA_BS!F25,"")</f>
        <v>2.0884739554798856E-4</v>
      </c>
      <c r="E17" s="224">
        <f>IFERROR(ENJSA_BS!G23/ENJSA_BS!G25,"")</f>
        <v>1.6606865720144575E-4</v>
      </c>
      <c r="F17" s="224">
        <f>IFERROR(ENJSA_BS!I23/ENJSA_BS!I25,"")</f>
        <v>1.5691046099727596E-4</v>
      </c>
      <c r="G17" s="224">
        <f>IFERROR(ENJSA_BS!J23/ENJSA_BS!J25,"")</f>
        <v>1.5798854493927446E-5</v>
      </c>
      <c r="H17" s="224">
        <f>IFERROR(ENJSA_BS!K23/ENJSA_BS!K25,"")</f>
        <v>2.7936577881160191E-4</v>
      </c>
      <c r="I17" s="224" t="str">
        <f>IFERROR(ENJSA_BS!L23/ENJSA_BS!L25,"")</f>
        <v/>
      </c>
    </row>
    <row r="18" spans="1:9" ht="13.5" customHeight="1" x14ac:dyDescent="0.2">
      <c r="A18" s="222" t="s">
        <v>60</v>
      </c>
      <c r="B18" s="225">
        <f>IFERROR(ENJSA_BS!B24/ENJSA_BS!B25,"")</f>
        <v>0.72014399204372814</v>
      </c>
      <c r="C18" s="225">
        <f>IFERROR(ENJSA_BS!D24/ENJSA_BS!D25,"")</f>
        <v>0.71410945673275039</v>
      </c>
      <c r="D18" s="225">
        <f>IFERROR(ENJSA_BS!F24/ENJSA_BS!F25,"")</f>
        <v>0.69198666465432668</v>
      </c>
      <c r="E18" s="225">
        <f>IFERROR(ENJSA_BS!G24/ENJSA_BS!G25,"")</f>
        <v>0.70821687764121288</v>
      </c>
      <c r="F18" s="225">
        <f>IFERROR(ENJSA_BS!I24/ENJSA_BS!I25,"")</f>
        <v>0.59323986119527683</v>
      </c>
      <c r="G18" s="225">
        <f>IFERROR(ENJSA_BS!J24/ENJSA_BS!J25,"")</f>
        <v>0.72749965627363999</v>
      </c>
      <c r="H18" s="225">
        <f>IFERROR(ENJSA_BS!K24/ENJSA_BS!K25,"")</f>
        <v>0.75388738992337045</v>
      </c>
      <c r="I18" s="225" t="str">
        <f>IFERROR(ENJSA_BS!L24/ENJSA_BS!L25,"")</f>
        <v/>
      </c>
    </row>
    <row r="19" spans="1:9" ht="13.5" customHeight="1" x14ac:dyDescent="0.2">
      <c r="A19" s="222" t="s">
        <v>61</v>
      </c>
      <c r="B19" s="225">
        <f>IFERROR(ENJSA_BS!B25/ENJSA_BS!B25,"")</f>
        <v>1</v>
      </c>
      <c r="C19" s="225">
        <f>IFERROR(ENJSA_BS!D25/ENJSA_BS!D25,"")</f>
        <v>1</v>
      </c>
      <c r="D19" s="225">
        <f>IFERROR(ENJSA_BS!F25/ENJSA_BS!F25,"")</f>
        <v>1</v>
      </c>
      <c r="E19" s="225">
        <f>IFERROR(ENJSA_BS!G25/ENJSA_BS!G25,"")</f>
        <v>1</v>
      </c>
      <c r="F19" s="225">
        <f>IFERROR(ENJSA_BS!I25/ENJSA_BS!I25,"")</f>
        <v>1</v>
      </c>
      <c r="G19" s="225">
        <f>IFERROR(ENJSA_BS!J25/ENJSA_BS!J25,"")</f>
        <v>1</v>
      </c>
      <c r="H19" s="225">
        <f>IFERROR(ENJSA_BS!K25/ENJSA_BS!K25,"")</f>
        <v>1</v>
      </c>
      <c r="I19" s="225" t="str">
        <f>IFERROR(ENJSA_BS!L25/ENJSA_BS!L25,"")</f>
        <v/>
      </c>
    </row>
    <row r="20" spans="1:9" ht="13.5" customHeight="1" x14ac:dyDescent="0.2">
      <c r="A20" s="187"/>
      <c r="B20" s="224"/>
      <c r="C20" s="224"/>
      <c r="D20" s="224"/>
      <c r="E20" s="224"/>
      <c r="F20" s="224"/>
      <c r="G20" s="224"/>
      <c r="H20" s="224"/>
      <c r="I20" s="224"/>
    </row>
    <row r="21" spans="1:9" ht="13.5" customHeight="1" x14ac:dyDescent="0.2">
      <c r="A21" s="222" t="s">
        <v>291</v>
      </c>
      <c r="B21" s="226"/>
      <c r="C21" s="226"/>
      <c r="D21" s="226"/>
      <c r="E21" s="226"/>
      <c r="F21" s="226"/>
      <c r="G21" s="226"/>
      <c r="H21" s="226"/>
      <c r="I21" s="226"/>
    </row>
    <row r="22" spans="1:9" ht="13.5" customHeight="1" x14ac:dyDescent="0.2">
      <c r="A22" s="227" t="s">
        <v>727</v>
      </c>
      <c r="B22" s="228">
        <f>IFERROR(ENJSA_BS!B29/ENJSA_BS!B25,"")</f>
        <v>4.8332404945430785E-2</v>
      </c>
      <c r="C22" s="228">
        <f>IFERROR(ENJSA_BS!D29/ENJSA_BS!D25,"")</f>
        <v>3.3824270185732953E-2</v>
      </c>
      <c r="D22" s="228">
        <f>IFERROR(ENJSA_BS!F29/ENJSA_BS!F25,"")</f>
        <v>5.4804124505540334E-2</v>
      </c>
      <c r="E22" s="228">
        <f>IFERROR(ENJSA_BS!G29/ENJSA_BS!G25,"")</f>
        <v>0.10689983471640617</v>
      </c>
      <c r="F22" s="228">
        <f>IFERROR(ENJSA_BS!I29/ENJSA_BS!I25,"")</f>
        <v>3.3069038600132349E-2</v>
      </c>
      <c r="G22" s="228">
        <f>IFERROR(ENJSA_BS!J29/ENJSA_BS!J25,"")</f>
        <v>4.4512178769791001E-2</v>
      </c>
      <c r="H22" s="228">
        <f>IFERROR(ENJSA_BS!K29/ENJSA_BS!K25,"")</f>
        <v>2.8787104717429367E-2</v>
      </c>
      <c r="I22" s="228" t="str">
        <f>IFERROR(ENJSA_BS!L29/ENJSA_BS!L25,"")</f>
        <v/>
      </c>
    </row>
    <row r="23" spans="1:9" ht="13.5" customHeight="1" x14ac:dyDescent="0.2">
      <c r="A23" s="187" t="s">
        <v>430</v>
      </c>
      <c r="B23" s="224">
        <f>IFERROR(ENJSA_BS!B32/ENJSA_BS!B25,"")</f>
        <v>0.1186868091111993</v>
      </c>
      <c r="C23" s="224">
        <f>IFERROR(ENJSA_BS!D32/ENJSA_BS!D25,"")</f>
        <v>0.11042767400829601</v>
      </c>
      <c r="D23" s="224">
        <f>IFERROR(ENJSA_BS!F32/ENJSA_BS!F25,"")</f>
        <v>0.12271224019102371</v>
      </c>
      <c r="E23" s="224">
        <f>IFERROR(ENJSA_BS!G32/ENJSA_BS!G25,"")</f>
        <v>8.8489472260578864E-2</v>
      </c>
      <c r="F23" s="224">
        <f>IFERROR(ENJSA_BS!I32/ENJSA_BS!I25,"")</f>
        <v>0.12655642477607279</v>
      </c>
      <c r="G23" s="224">
        <f>IFERROR(ENJSA_BS!J32/ENJSA_BS!J25,"")</f>
        <v>7.7550378698542213E-2</v>
      </c>
      <c r="H23" s="224">
        <f>IFERROR(ENJSA_BS!K32/ENJSA_BS!K25,"")</f>
        <v>0.11116825464878193</v>
      </c>
      <c r="I23" s="224" t="str">
        <f>IFERROR(ENJSA_BS!L32/ENJSA_BS!L25,"")</f>
        <v/>
      </c>
    </row>
    <row r="24" spans="1:9" ht="13.5" customHeight="1" x14ac:dyDescent="0.2">
      <c r="A24" s="187" t="s">
        <v>432</v>
      </c>
      <c r="B24" s="224">
        <f>IFERROR(ENJSA_BS!B34/ENJSA_BS!B25,"")</f>
        <v>6.9448215370525271E-2</v>
      </c>
      <c r="C24" s="224">
        <f>IFERROR(ENJSA_BS!D34/ENJSA_BS!D25,"")</f>
        <v>7.2956698241844684E-2</v>
      </c>
      <c r="D24" s="224">
        <f>IFERROR(ENJSA_BS!F34/ENJSA_BS!F25,"")</f>
        <v>6.8061388037325352E-2</v>
      </c>
      <c r="E24" s="224">
        <f>IFERROR(ENJSA_BS!G34/ENJSA_BS!G25,"")</f>
        <v>7.0153976302346779E-2</v>
      </c>
      <c r="F24" s="224">
        <f>IFERROR(ENJSA_BS!I34/ENJSA_BS!I25,"")</f>
        <v>9.1813028215813303E-2</v>
      </c>
      <c r="G24" s="224">
        <f>IFERROR(ENJSA_BS!J34/ENJSA_BS!J25,"")</f>
        <v>0.10447810833752542</v>
      </c>
      <c r="H24" s="224">
        <f>IFERROR(ENJSA_BS!K34/ENJSA_BS!K25,"")</f>
        <v>7.4347138392860564E-3</v>
      </c>
      <c r="I24" s="224" t="str">
        <f>IFERROR(ENJSA_BS!L34/ENJSA_BS!L25,"")</f>
        <v/>
      </c>
    </row>
    <row r="25" spans="1:9" ht="13.5" customHeight="1" x14ac:dyDescent="0.2">
      <c r="A25" s="187" t="s">
        <v>436</v>
      </c>
      <c r="B25" s="224">
        <f>IFERROR(ENJSA_BS!B38/ENJSA_BS!B25,"")</f>
        <v>5.7591176207741701E-3</v>
      </c>
      <c r="C25" s="224">
        <f>IFERROR(ENJSA_BS!D38/ENJSA_BS!D25,"")</f>
        <v>5.7446750440208359E-3</v>
      </c>
      <c r="D25" s="224">
        <f>IFERROR(ENJSA_BS!F38/ENJSA_BS!F25,"")</f>
        <v>4.6556457945748945E-3</v>
      </c>
      <c r="E25" s="224">
        <f>IFERROR(ENJSA_BS!G38/ENJSA_BS!G25,"")</f>
        <v>1.4078961673602846E-2</v>
      </c>
      <c r="F25" s="224">
        <f>IFERROR(ENJSA_BS!I38/ENJSA_BS!I25,"")</f>
        <v>1.0956234792345249E-2</v>
      </c>
      <c r="G25" s="224">
        <f>IFERROR(ENJSA_BS!J38/ENJSA_BS!J25,"")</f>
        <v>1.3365547332679396E-2</v>
      </c>
      <c r="H25" s="224">
        <f>IFERROR(ENJSA_BS!K38/ENJSA_BS!K25,"")</f>
        <v>1.3003129765085008E-2</v>
      </c>
      <c r="I25" s="224" t="str">
        <f>IFERROR(ENJSA_BS!L38/ENJSA_BS!L25,"")</f>
        <v/>
      </c>
    </row>
    <row r="26" spans="1:9" ht="13.5" customHeight="1" x14ac:dyDescent="0.2">
      <c r="A26" s="222" t="s">
        <v>64</v>
      </c>
      <c r="B26" s="225">
        <f>IFERROR(ENJSA_BS!B39/ENJSA_BS!B25,"")</f>
        <v>0.35448276653473093</v>
      </c>
      <c r="C26" s="225">
        <f>IFERROR(ENJSA_BS!D39/ENJSA_BS!D25,"")</f>
        <v>0.37595549361800379</v>
      </c>
      <c r="D26" s="225">
        <f>IFERROR(ENJSA_BS!F39/ENJSA_BS!F25,"")</f>
        <v>0.36341424997114125</v>
      </c>
      <c r="E26" s="225">
        <f>IFERROR(ENJSA_BS!G39/ENJSA_BS!G25,"")</f>
        <v>0.40840141511240641</v>
      </c>
      <c r="F26" s="225">
        <f>IFERROR(ENJSA_BS!I39/ENJSA_BS!I25,"")</f>
        <v>0.45869546689937901</v>
      </c>
      <c r="G26" s="225">
        <f>IFERROR(ENJSA_BS!J39/ENJSA_BS!J25,"")</f>
        <v>0.3357301140831232</v>
      </c>
      <c r="H26" s="225">
        <f>IFERROR(ENJSA_BS!K39/ENJSA_BS!K25,"")</f>
        <v>0.31205757684857521</v>
      </c>
      <c r="I26" s="225" t="str">
        <f>IFERROR(ENJSA_BS!L39/ENJSA_BS!L25,"")</f>
        <v/>
      </c>
    </row>
    <row r="27" spans="1:9" ht="13.5" customHeight="1" x14ac:dyDescent="0.2">
      <c r="A27" s="222" t="s">
        <v>302</v>
      </c>
      <c r="B27" s="226"/>
      <c r="C27" s="226"/>
      <c r="D27" s="226"/>
      <c r="E27" s="226"/>
      <c r="F27" s="226"/>
      <c r="G27" s="226"/>
      <c r="H27" s="226"/>
      <c r="I27" s="226"/>
    </row>
    <row r="28" spans="1:9" ht="13.5" customHeight="1" x14ac:dyDescent="0.2">
      <c r="A28" s="187" t="s">
        <v>728</v>
      </c>
      <c r="B28" s="224">
        <f>IFERROR(ENJSA_BS!B41/ENJSA_BS!B25,"")</f>
        <v>0.1451228318867793</v>
      </c>
      <c r="C28" s="224">
        <f>IFERROR(ENJSA_BS!D41/ENJSA_BS!D25,"")</f>
        <v>0.13370996961163986</v>
      </c>
      <c r="D28" s="224">
        <f>IFERROR(ENJSA_BS!F41/ENJSA_BS!F25,"")</f>
        <v>9.9789983719184586E-2</v>
      </c>
      <c r="E28" s="224">
        <f>IFERROR(ENJSA_BS!G41/ENJSA_BS!G25,"")</f>
        <v>5.1268055763606157E-2</v>
      </c>
      <c r="F28" s="224">
        <f>IFERROR(ENJSA_BS!I41/ENJSA_BS!I25,"")</f>
        <v>0.1392702093187457</v>
      </c>
      <c r="G28" s="224">
        <f>IFERROR(ENJSA_BS!J41/ENJSA_BS!J25,"")</f>
        <v>0.28723066902801475</v>
      </c>
      <c r="H28" s="224">
        <f>IFERROR(ENJSA_BS!K41/ENJSA_BS!K25,"")</f>
        <v>0.22894381006225903</v>
      </c>
      <c r="I28" s="224" t="str">
        <f>IFERROR(ENJSA_BS!L41/ENJSA_BS!L25,"")</f>
        <v/>
      </c>
    </row>
    <row r="29" spans="1:9" ht="13.5" customHeight="1" x14ac:dyDescent="0.2">
      <c r="A29" s="187" t="s">
        <v>441</v>
      </c>
      <c r="B29" s="224">
        <f>IFERROR(ENJSA_BS!B45/ENJSA_BS!B25,"")</f>
        <v>5.578266285456164E-2</v>
      </c>
      <c r="C29" s="224">
        <f>IFERROR(ENJSA_BS!D45/ENJSA_BS!D25,"")</f>
        <v>6.1177020979383094E-2</v>
      </c>
      <c r="D29" s="224">
        <f>IFERROR(ENJSA_BS!F45/ENJSA_BS!F25,"")</f>
        <v>5.9922237030794009E-2</v>
      </c>
      <c r="E29" s="224">
        <f>IFERROR(ENJSA_BS!G45/ENJSA_BS!G25,"")</f>
        <v>5.2157381891379424E-2</v>
      </c>
      <c r="F29" s="224">
        <f>IFERROR(ENJSA_BS!I45/ENJSA_BS!I25,"")</f>
        <v>4.7839507301152467E-2</v>
      </c>
      <c r="G29" s="224">
        <f>IFERROR(ENJSA_BS!J45/ENJSA_BS!J25,"")</f>
        <v>5.5376159787831919E-2</v>
      </c>
      <c r="H29" s="224">
        <f>IFERROR(ENJSA_BS!K45/ENJSA_BS!K25,"")</f>
        <v>6.2908082401454291E-2</v>
      </c>
      <c r="I29" s="224" t="str">
        <f>IFERROR(ENJSA_BS!L45/ENJSA_BS!L25,"")</f>
        <v/>
      </c>
    </row>
    <row r="30" spans="1:9" ht="13.5" customHeight="1" x14ac:dyDescent="0.2">
      <c r="A30" s="187" t="s">
        <v>633</v>
      </c>
      <c r="B30" s="224">
        <f>IFERROR(ENJSA_BS!B46/ENJSA_BS!B25,"")</f>
        <v>0</v>
      </c>
      <c r="C30" s="224">
        <f>IFERROR(ENJSA_BS!D46/ENJSA_BS!D25,"")</f>
        <v>0</v>
      </c>
      <c r="D30" s="224">
        <f>IFERROR(ENJSA_BS!F46/ENJSA_BS!F25,"")</f>
        <v>0</v>
      </c>
      <c r="E30" s="224">
        <f>IFERROR(ENJSA_BS!G46/ENJSA_BS!G25,"")</f>
        <v>2.2536869628808559E-5</v>
      </c>
      <c r="F30" s="224">
        <f>IFERROR(ENJSA_BS!I46/ENJSA_BS!I25,"")</f>
        <v>8.6338900338047306E-5</v>
      </c>
      <c r="G30" s="224">
        <f>IFERROR(ENJSA_BS!J46/ENJSA_BS!J25,"")</f>
        <v>1.9444743992526089E-3</v>
      </c>
      <c r="H30" s="224">
        <f>IFERROR(ENJSA_BS!K46/ENJSA_BS!K25,"")</f>
        <v>1.3621369681504282E-3</v>
      </c>
      <c r="I30" s="224" t="str">
        <f>IFERROR(ENJSA_BS!L46/ENJSA_BS!L25,"")</f>
        <v/>
      </c>
    </row>
    <row r="31" spans="1:9" ht="13.5" customHeight="1" x14ac:dyDescent="0.2">
      <c r="A31" s="222" t="s">
        <v>66</v>
      </c>
      <c r="B31" s="225">
        <f>IFERROR(ENJSA_BS!B47/ENJSA_BS!B25,"")</f>
        <v>0.24413778121688379</v>
      </c>
      <c r="C31" s="225">
        <f>IFERROR(ENJSA_BS!D47/ENJSA_BS!D25,"")</f>
        <v>0.20983008080149015</v>
      </c>
      <c r="D31" s="225">
        <f>IFERROR(ENJSA_BS!F47/ENJSA_BS!F25,"")</f>
        <v>0.19924001411625794</v>
      </c>
      <c r="E31" s="225">
        <f>IFERROR(ENJSA_BS!G47/ENJSA_BS!G25,"")</f>
        <v>0.12516867958764666</v>
      </c>
      <c r="F31" s="225">
        <f>IFERROR(ENJSA_BS!I47/ENJSA_BS!I25,"")</f>
        <v>0.24553257384558835</v>
      </c>
      <c r="G31" s="225">
        <f>IFERROR(ENJSA_BS!J47/ENJSA_BS!J25,"")</f>
        <v>0.37597101177565595</v>
      </c>
      <c r="H31" s="225">
        <f>IFERROR(ENJSA_BS!K47/ENJSA_BS!K25,"")</f>
        <v>0.31321743647695532</v>
      </c>
      <c r="I31" s="225" t="str">
        <f>IFERROR(ENJSA_BS!L47/ENJSA_BS!L25,"")</f>
        <v/>
      </c>
    </row>
    <row r="32" spans="1:9" ht="13.5" customHeight="1" x14ac:dyDescent="0.2">
      <c r="A32" s="222" t="s">
        <v>67</v>
      </c>
      <c r="B32" s="225">
        <f>IFERROR(ENJSA_BS!B48/ENJSA_BS!B25,"")</f>
        <v>0.59862054775161466</v>
      </c>
      <c r="C32" s="225">
        <f>IFERROR(ENJSA_BS!D48/ENJSA_BS!D25,"")</f>
        <v>0.58578557441949386</v>
      </c>
      <c r="D32" s="225">
        <f>IFERROR(ENJSA_BS!F48/ENJSA_BS!F25,"")</f>
        <v>0.56265426408739916</v>
      </c>
      <c r="E32" s="225">
        <f>IFERROR(ENJSA_BS!G48/ENJSA_BS!G25,"")</f>
        <v>0.53357009470005301</v>
      </c>
      <c r="F32" s="225">
        <f>IFERROR(ENJSA_BS!I48/ENJSA_BS!I25,"")</f>
        <v>0.70422804074496737</v>
      </c>
      <c r="G32" s="225">
        <f>IFERROR(ENJSA_BS!J48/ENJSA_BS!J25,"")</f>
        <v>0.71170112585877909</v>
      </c>
      <c r="H32" s="225">
        <f>IFERROR(ENJSA_BS!K48/ENJSA_BS!K25,"")</f>
        <v>0.62527501332553059</v>
      </c>
      <c r="I32" s="225" t="str">
        <f>IFERROR(ENJSA_BS!L48/ENJSA_BS!L25,"")</f>
        <v/>
      </c>
    </row>
    <row r="33" spans="1:9" ht="13.5" customHeight="1" x14ac:dyDescent="0.2">
      <c r="A33" s="187"/>
      <c r="B33" s="224"/>
      <c r="C33" s="224"/>
      <c r="D33" s="224"/>
      <c r="E33" s="224"/>
      <c r="F33" s="224"/>
      <c r="G33" s="224"/>
      <c r="H33" s="224"/>
      <c r="I33" s="224"/>
    </row>
    <row r="34" spans="1:9" ht="13.5" customHeight="1" x14ac:dyDescent="0.2">
      <c r="A34" s="222" t="s">
        <v>306</v>
      </c>
      <c r="B34" s="226"/>
      <c r="C34" s="226"/>
      <c r="D34" s="226"/>
      <c r="E34" s="226"/>
      <c r="F34" s="226"/>
      <c r="G34" s="226"/>
      <c r="H34" s="226"/>
      <c r="I34" s="226"/>
    </row>
    <row r="35" spans="1:9" ht="13.5" customHeight="1" x14ac:dyDescent="0.2">
      <c r="A35" s="187" t="s">
        <v>729</v>
      </c>
      <c r="B35" s="224">
        <f>IFERROR(ENJSA_BS!B51/ENJSA_BS!B25,"")</f>
        <v>4.9500335046558175E-3</v>
      </c>
      <c r="C35" s="224">
        <f>IFERROR(ENJSA_BS!D51/ENJSA_BS!D25,"")</f>
        <v>6.5705333812051151E-3</v>
      </c>
      <c r="D35" s="224">
        <f>IFERROR(ENJSA_BS!F51/ENJSA_BS!F25,"")</f>
        <v>8.941283380304756E-3</v>
      </c>
      <c r="E35" s="224">
        <f>IFERROR(ENJSA_BS!G51/ENJSA_BS!G25,"")</f>
        <v>9.3657980561672391E-3</v>
      </c>
      <c r="F35" s="224">
        <f>IFERROR(ENJSA_BS!I51/ENJSA_BS!I25,"")</f>
        <v>3.7544992151456999E-2</v>
      </c>
      <c r="G35" s="224">
        <f>IFERROR(ENJSA_BS!J51/ENJSA_BS!J25,"")</f>
        <v>4.7844967380226658E-2</v>
      </c>
      <c r="H35" s="224">
        <f>IFERROR(ENJSA_BS!K51/ENJSA_BS!K25,"")</f>
        <v>5.0274304588639317E-2</v>
      </c>
      <c r="I35" s="224" t="str">
        <f>IFERROR(ENJSA_BS!L51/ENJSA_BS!L25,"")</f>
        <v/>
      </c>
    </row>
    <row r="36" spans="1:9" ht="13.5" customHeight="1" x14ac:dyDescent="0.2">
      <c r="A36" s="187" t="s">
        <v>450</v>
      </c>
      <c r="B36" s="224">
        <f>IFERROR(ENJSA_BS!B56/ENJSA_BS!B25,"")</f>
        <v>0.12861107580186393</v>
      </c>
      <c r="C36" s="224">
        <f>IFERROR(ENJSA_BS!D56/ENJSA_BS!D25,"")</f>
        <v>0.17534050648275706</v>
      </c>
      <c r="D36" s="224">
        <f>IFERROR(ENJSA_BS!F56/ENJSA_BS!F25,"")</f>
        <v>0.14268025270693843</v>
      </c>
      <c r="E36" s="224">
        <f>IFERROR(ENJSA_BS!G56/ENJSA_BS!G25,"")</f>
        <v>1.3863790871172132E-2</v>
      </c>
      <c r="F36" s="224">
        <f>IFERROR(ENJSA_BS!I56/ENJSA_BS!I25,"")</f>
        <v>7.9653866204141083E-2</v>
      </c>
      <c r="G36" s="224">
        <f>IFERROR(ENJSA_BS!J56/ENJSA_BS!J25,"")</f>
        <v>8.1372162110506588E-2</v>
      </c>
      <c r="H36" s="224">
        <f>IFERROR(ENJSA_BS!K56/ENJSA_BS!K25,"")</f>
        <v>0.15803794045230951</v>
      </c>
      <c r="I36" s="224" t="str">
        <f>IFERROR(ENJSA_BS!L56/ENJSA_BS!L25,"")</f>
        <v/>
      </c>
    </row>
    <row r="37" spans="1:9" ht="13.5" customHeight="1" x14ac:dyDescent="0.2">
      <c r="A37" s="227" t="s">
        <v>637</v>
      </c>
      <c r="B37" s="228">
        <f>IFERROR(ENJSA_BS!B57/ENJSA_BS!B25,"")</f>
        <v>1.3291308257783338E-2</v>
      </c>
      <c r="C37" s="228">
        <f>IFERROR(ENJSA_BS!D57/ENJSA_BS!D25,"")</f>
        <v>-2.6997044790139021E-2</v>
      </c>
      <c r="D37" s="228">
        <f>IFERROR(ENJSA_BS!F57/ENJSA_BS!F25,"")</f>
        <v>3.4198418455838361E-2</v>
      </c>
      <c r="E37" s="228">
        <f>IFERROR(ENJSA_BS!G57/ENJSA_BS!G25,"")</f>
        <v>0.16363067859529484</v>
      </c>
      <c r="F37" s="228">
        <f>IFERROR(ENJSA_BS!I57/ENJSA_BS!I25,"")</f>
        <v>7.2554176467874945E-2</v>
      </c>
      <c r="G37" s="228">
        <f>IFERROR(ENJSA_BS!J57/ENJSA_BS!J25,"")</f>
        <v>4.4061911416714068E-2</v>
      </c>
      <c r="H37" s="228">
        <f>IFERROR(ENJSA_BS!K57/ENJSA_BS!K25,"")</f>
        <v>4.3997960540424437E-2</v>
      </c>
      <c r="I37" s="228" t="str">
        <f>IFERROR(ENJSA_BS!L57/ENJSA_BS!L25,"")</f>
        <v/>
      </c>
    </row>
    <row r="38" spans="1:9" ht="13.5" customHeight="1" x14ac:dyDescent="0.2">
      <c r="A38" s="222" t="s">
        <v>70</v>
      </c>
      <c r="B38" s="225">
        <f>IFERROR(ENJSA_BS!B58/ENJSA_BS!B25,"")</f>
        <v>0.40137945224838534</v>
      </c>
      <c r="C38" s="225">
        <f>IFERROR(ENJSA_BS!D58/ENJSA_BS!D25,"")</f>
        <v>0.41421442558050608</v>
      </c>
      <c r="D38" s="225">
        <f>IFERROR(ENJSA_BS!F58/ENJSA_BS!F25,"")</f>
        <v>0.43734573591260079</v>
      </c>
      <c r="E38" s="225">
        <f>IFERROR(ENJSA_BS!G58/ENJSA_BS!G25,"")</f>
        <v>0.46642990529994693</v>
      </c>
      <c r="F38" s="225">
        <f>IFERROR(ENJSA_BS!I58/ENJSA_BS!I25,"")</f>
        <v>0.29577195925503263</v>
      </c>
      <c r="G38" s="225">
        <f>IFERROR(ENJSA_BS!J58/ENJSA_BS!J25,"")</f>
        <v>0.28829887414122085</v>
      </c>
      <c r="H38" s="225">
        <f>IFERROR(ENJSA_BS!K58/ENJSA_BS!K25,"")</f>
        <v>0.37472498667446946</v>
      </c>
      <c r="I38" s="225" t="str">
        <f>IFERROR(ENJSA_BS!L58/ENJSA_BS!L25,"")</f>
        <v/>
      </c>
    </row>
    <row r="39" spans="1:9" ht="13.5" customHeight="1" x14ac:dyDescent="0.2">
      <c r="A39" s="187"/>
      <c r="B39" s="224"/>
      <c r="C39" s="224"/>
      <c r="D39" s="224"/>
      <c r="E39" s="224"/>
      <c r="F39" s="224"/>
      <c r="G39" s="224"/>
      <c r="H39" s="224"/>
      <c r="I39" s="224"/>
    </row>
    <row r="40" spans="1:9" ht="13.5" customHeight="1" x14ac:dyDescent="0.2">
      <c r="A40" s="220" t="s">
        <v>730</v>
      </c>
      <c r="B40" s="229"/>
      <c r="C40" s="229"/>
      <c r="D40" s="229"/>
      <c r="E40" s="229"/>
      <c r="F40" s="229"/>
      <c r="G40" s="229"/>
      <c r="H40" s="229"/>
      <c r="I40" s="229"/>
    </row>
    <row r="41" spans="1:9" ht="13.5" customHeight="1" x14ac:dyDescent="0.2">
      <c r="A41" s="187" t="s">
        <v>466</v>
      </c>
      <c r="B41" s="224">
        <f>IFERROR(ENJSA_PLS!B4/ENJSA_PLS!B4,"")</f>
        <v>1</v>
      </c>
      <c r="C41" s="224">
        <f>IFERROR(ENJSA_PLS!D4/ENJSA_PLS!D4,"")</f>
        <v>1</v>
      </c>
      <c r="D41" s="224">
        <f>IFERROR(ENJSA_PLS!F4/ENJSA_PLS!F4,"")</f>
        <v>1</v>
      </c>
      <c r="E41" s="224">
        <f>IFERROR(ENJSA_PLS!H4/ENJSA_PLS!H4,"")</f>
        <v>1</v>
      </c>
      <c r="F41" s="224">
        <f>IFERROR(ENJSA_PLS!I4/ENJSA_PLS!I4,"")</f>
        <v>1</v>
      </c>
      <c r="G41" s="224">
        <f>IFERROR(ENJSA_PLS!J4/ENJSA_PLS!J4,"")</f>
        <v>1</v>
      </c>
      <c r="H41" s="224">
        <f>IFERROR(ENJSA_PLS!K4/ENJSA_PLS!K4,"")</f>
        <v>1</v>
      </c>
      <c r="I41" s="224" t="str">
        <f>IFERROR(ENJSA_PLS!L4/ENJSA_PLS!L4,"")</f>
        <v/>
      </c>
    </row>
    <row r="42" spans="1:9" ht="13.5" customHeight="1" x14ac:dyDescent="0.2">
      <c r="A42" s="187" t="s">
        <v>731</v>
      </c>
      <c r="B42" s="224">
        <f>IFERROR(ENJSA_PLS!B5/ENJSA_PLS!B4,"")</f>
        <v>-0.74467923841927763</v>
      </c>
      <c r="C42" s="224">
        <f>IFERROR(ENJSA_PLS!D5/ENJSA_PLS!D4,"")</f>
        <v>-0.77582470528771874</v>
      </c>
      <c r="D42" s="224">
        <f>IFERROR(ENJSA_PLS!F5/ENJSA_PLS!F4,"")</f>
        <v>-0.8484894098045056</v>
      </c>
      <c r="E42" s="224">
        <f>IFERROR(ENJSA_PLS!H5/ENJSA_PLS!H4,"")</f>
        <v>-0.81257119457060434</v>
      </c>
      <c r="F42" s="224">
        <f>IFERROR(ENJSA_PLS!I5/ENJSA_PLS!I4,"")</f>
        <v>-0.72888852021205797</v>
      </c>
      <c r="G42" s="224">
        <f>IFERROR(ENJSA_PLS!J5/ENJSA_PLS!J4,"")</f>
        <v>-0.74080436717899811</v>
      </c>
      <c r="H42" s="224">
        <f>IFERROR(ENJSA_PLS!K5/ENJSA_PLS!K4,"")</f>
        <v>-0.72526357644558692</v>
      </c>
      <c r="I42" s="224" t="str">
        <f>IFERROR(ENJSA_PLS!L5/ENJSA_PLS!L4,"")</f>
        <v/>
      </c>
    </row>
    <row r="43" spans="1:9" ht="13.5" customHeight="1" x14ac:dyDescent="0.2">
      <c r="A43" s="222" t="s">
        <v>468</v>
      </c>
      <c r="B43" s="225">
        <f>IFERROR(ENJSA_PLS!B6/ENJSA_PLS!B4,"")</f>
        <v>0.25532076158072237</v>
      </c>
      <c r="C43" s="225">
        <f>IFERROR(ENJSA_PLS!D6/ENJSA_PLS!D4,"")</f>
        <v>0.22417529471228129</v>
      </c>
      <c r="D43" s="225">
        <f>IFERROR(ENJSA_PLS!F6/ENJSA_PLS!F4,"")</f>
        <v>0.1515105901954944</v>
      </c>
      <c r="E43" s="225">
        <f>IFERROR(ENJSA_PLS!H6/ENJSA_PLS!H4,"")</f>
        <v>0.18742880542939563</v>
      </c>
      <c r="F43" s="225">
        <f>IFERROR(ENJSA_PLS!I6/ENJSA_PLS!I4,"")</f>
        <v>0.27111147978794198</v>
      </c>
      <c r="G43" s="225">
        <f>IFERROR(ENJSA_PLS!J6/ENJSA_PLS!J4,"")</f>
        <v>0.25919563282100183</v>
      </c>
      <c r="H43" s="225">
        <f>IFERROR(ENJSA_PLS!K6/ENJSA_PLS!K4,"")</f>
        <v>0.27473642355441308</v>
      </c>
      <c r="I43" s="225" t="str">
        <f>IFERROR(ENJSA_PLS!L6/ENJSA_PLS!L4,"")</f>
        <v/>
      </c>
    </row>
    <row r="44" spans="1:9" ht="13.5" customHeight="1" x14ac:dyDescent="0.2">
      <c r="A44" s="187" t="s">
        <v>732</v>
      </c>
      <c r="B44" s="224">
        <f>IFERROR(ENJSA_PLS!B7/ENJSA_PLS!B4,"")</f>
        <v>-9.6943956905282375E-2</v>
      </c>
      <c r="C44" s="224">
        <f>IFERROR(ENJSA_PLS!D7/ENJSA_PLS!D4,"")</f>
        <v>-8.5101476020810668E-2</v>
      </c>
      <c r="D44" s="224">
        <f>IFERROR(ENJSA_PLS!F7/ENJSA_PLS!F4,"")</f>
        <v>-6.818978813929101E-2</v>
      </c>
      <c r="E44" s="224">
        <f>IFERROR(ENJSA_PLS!H7/ENJSA_PLS!H4,"")</f>
        <v>-9.158247179887713E-2</v>
      </c>
      <c r="F44" s="224">
        <f>IFERROR(ENJSA_PLS!I7/ENJSA_PLS!I4,"")</f>
        <v>-0.11073603263043109</v>
      </c>
      <c r="G44" s="224">
        <f>IFERROR(ENJSA_PLS!J7/ENJSA_PLS!J4,"")</f>
        <v>-0.1168897491097546</v>
      </c>
      <c r="H44" s="224">
        <f>IFERROR(ENJSA_PLS!K7/ENJSA_PLS!K4,"")</f>
        <v>-0.11157536195415792</v>
      </c>
      <c r="I44" s="224" t="str">
        <f>IFERROR(ENJSA_PLS!L7/ENJSA_PLS!L4,"")</f>
        <v/>
      </c>
    </row>
    <row r="45" spans="1:9" ht="13.5" customHeight="1" x14ac:dyDescent="0.2">
      <c r="A45" s="222" t="s">
        <v>99</v>
      </c>
      <c r="B45" s="225">
        <f>IFERROR(ENJSA_PLS!B10/ENJSA_PLS!B4,"")</f>
        <v>0.16239058558409777</v>
      </c>
      <c r="C45" s="225">
        <f>IFERROR(ENJSA_PLS!D10/ENJSA_PLS!D4,"")</f>
        <v>0.14481012673105442</v>
      </c>
      <c r="D45" s="225">
        <f>IFERROR(ENJSA_PLS!F10/ENJSA_PLS!F4,"")</f>
        <v>8.8317119037618783E-2</v>
      </c>
      <c r="E45" s="225">
        <f>IFERROR(ENJSA_PLS!H10/ENJSA_PLS!H4,"")</f>
        <v>9.8852608504175737E-2</v>
      </c>
      <c r="F45" s="225">
        <f>IFERROR(ENJSA_PLS!I10/ENJSA_PLS!I4,"")</f>
        <v>0.14778833784469597</v>
      </c>
      <c r="G45" s="225">
        <f>IFERROR(ENJSA_PLS!J10/ENJSA_PLS!J4,"")</f>
        <v>0.12583625753733144</v>
      </c>
      <c r="H45" s="225">
        <f>IFERROR(ENJSA_PLS!K10/ENJSA_PLS!K4,"")</f>
        <v>0.15751774075937056</v>
      </c>
      <c r="I45" s="225" t="str">
        <f>IFERROR(ENJSA_PLS!L10/ENJSA_PLS!L4,"")</f>
        <v/>
      </c>
    </row>
    <row r="46" spans="1:9" ht="13.5" customHeight="1" x14ac:dyDescent="0.2">
      <c r="A46" s="222" t="s">
        <v>331</v>
      </c>
      <c r="B46" s="225">
        <f>IFERROR(ENJSA_PLS!B12/ENJSA_PLS!B4,"")</f>
        <v>0.19325817542826823</v>
      </c>
      <c r="C46" s="225">
        <f>IFERROR(ENJSA_PLS!D12/ENJSA_PLS!D4,"")</f>
        <v>0.16971511665157687</v>
      </c>
      <c r="D46" s="225">
        <f>IFERROR(ENJSA_PLS!F12/ENJSA_PLS!F4,"")</f>
        <v>0.11205260991309506</v>
      </c>
      <c r="E46" s="225">
        <f>IFERROR(ENJSA_PLS!H12/ENJSA_PLS!H4,"")</f>
        <v>0.1236322619564903</v>
      </c>
      <c r="F46" s="225">
        <f>IFERROR(ENJSA_PLS!I12/ENJSA_PLS!I4,"")</f>
        <v>0.18405950356755396</v>
      </c>
      <c r="G46" s="225">
        <f>IFERROR(ENJSA_PLS!J12/ENJSA_PLS!J4,"")</f>
        <v>0.16370877267634079</v>
      </c>
      <c r="H46" s="225">
        <f>IFERROR(ENJSA_PLS!K12/ENJSA_PLS!K4,"")</f>
        <v>0.18908085786907322</v>
      </c>
      <c r="I46" s="225" t="str">
        <f>IFERROR(ENJSA_PLS!L12/ENJSA_PLS!L4,"")</f>
        <v/>
      </c>
    </row>
    <row r="47" spans="1:9" ht="13.5" customHeight="1" x14ac:dyDescent="0.2">
      <c r="A47" s="187" t="s">
        <v>733</v>
      </c>
      <c r="B47" s="224">
        <f>IFERROR(ENJSA_PLS!B15/ENJSA_PLS!B4,"")</f>
        <v>-0.12891169459745394</v>
      </c>
      <c r="C47" s="224">
        <f>IFERROR(ENJSA_PLS!D15/ENJSA_PLS!D4,"")</f>
        <v>-0.12119049654012506</v>
      </c>
      <c r="D47" s="224">
        <f>IFERROR(ENJSA_PLS!F15/ENJSA_PLS!F4,"")</f>
        <v>-5.6588470805667805E-2</v>
      </c>
      <c r="E47" s="224">
        <f>IFERROR(ENJSA_PLS!H15/ENJSA_PLS!H4,"")</f>
        <v>-4.9876712025268825E-2</v>
      </c>
      <c r="F47" s="224">
        <f>IFERROR(ENJSA_PLS!I15/ENJSA_PLS!I4,"")</f>
        <v>-4.8434674959451099E-2</v>
      </c>
      <c r="G47" s="224">
        <f>IFERROR(ENJSA_PLS!J15/ENJSA_PLS!J4,"")</f>
        <v>-6.3851497823502398E-2</v>
      </c>
      <c r="H47" s="224">
        <f>IFERROR(ENJSA_PLS!K15/ENJSA_PLS!K4,"")</f>
        <v>-9.476527758964709E-2</v>
      </c>
      <c r="I47" s="224" t="str">
        <f>IFERROR(ENJSA_PLS!L15/ENJSA_PLS!L4,"")</f>
        <v/>
      </c>
    </row>
    <row r="48" spans="1:9" ht="13.5" customHeight="1" x14ac:dyDescent="0.2">
      <c r="A48" s="187" t="s">
        <v>734</v>
      </c>
      <c r="B48" s="224">
        <f>IFERROR(ENJSA_PLS!B16/ENJSA_PLS!B4,"")</f>
        <v>-2.0941819682109505E-2</v>
      </c>
      <c r="C48" s="224">
        <f>IFERROR(ENJSA_PLS!D16/ENJSA_PLS!D4,"")</f>
        <v>-2.4104422315908029E-2</v>
      </c>
      <c r="D48" s="224">
        <f>IFERROR(ENJSA_PLS!F16/ENJSA_PLS!F4,"")</f>
        <v>-1.2135448260734724E-2</v>
      </c>
      <c r="E48" s="224">
        <f>IFERROR(ENJSA_PLS!H16/ENJSA_PLS!H4,"")</f>
        <v>0</v>
      </c>
      <c r="F48" s="224">
        <f>IFERROR(ENJSA_PLS!I16/ENJSA_PLS!I4,"")</f>
        <v>0</v>
      </c>
      <c r="G48" s="224">
        <f>IFERROR(ENJSA_PLS!J16/ENJSA_PLS!J4,"")</f>
        <v>0</v>
      </c>
      <c r="H48" s="224">
        <f>IFERROR(ENJSA_PLS!K16/ENJSA_PLS!K4,"")</f>
        <v>0</v>
      </c>
      <c r="I48" s="224" t="str">
        <f>IFERROR(ENJSA_PLS!L16/ENJSA_PLS!L4,"")</f>
        <v/>
      </c>
    </row>
    <row r="49" spans="1:9" ht="13.5" customHeight="1" x14ac:dyDescent="0.2">
      <c r="A49" s="222" t="s">
        <v>735</v>
      </c>
      <c r="B49" s="225">
        <f>IFERROR(ENJSA_PLS!B17/ENJSA_PLS!B4,"")</f>
        <v>2.5092386443650121E-2</v>
      </c>
      <c r="C49" s="225">
        <f>IFERROR(ENJSA_PLS!D17/ENJSA_PLS!D4,"")</f>
        <v>1.4391689695219576E-2</v>
      </c>
      <c r="D49" s="225">
        <f>IFERROR(ENJSA_PLS!F17/ENJSA_PLS!F4,"")</f>
        <v>3.1236369586632798E-2</v>
      </c>
      <c r="E49" s="225">
        <f>IFERROR(ENJSA_PLS!H17/ENJSA_PLS!H4,"")</f>
        <v>5.2654529570623491E-2</v>
      </c>
      <c r="F49" s="225">
        <f>IFERROR(ENJSA_PLS!I17/ENJSA_PLS!I4,"")</f>
        <v>0.10289206568577169</v>
      </c>
      <c r="G49" s="225">
        <f>IFERROR(ENJSA_PLS!J17/ENJSA_PLS!J4,"")</f>
        <v>6.4930496810642432E-2</v>
      </c>
      <c r="H49" s="225">
        <f>IFERROR(ENJSA_PLS!K17/ENJSA_PLS!K4,"")</f>
        <v>7.1523668353888348E-2</v>
      </c>
      <c r="I49" s="225" t="str">
        <f>IFERROR(ENJSA_PLS!L17/ENJSA_PLS!L4,"")</f>
        <v/>
      </c>
    </row>
    <row r="50" spans="1:9" ht="13.5" customHeight="1" x14ac:dyDescent="0.2">
      <c r="A50" s="222" t="s">
        <v>736</v>
      </c>
      <c r="B50" s="225">
        <f>IFERROR(ENJSA_PLS!B21/ENJSA_PLS!B4,"")</f>
        <v>1.360685423782867E-2</v>
      </c>
      <c r="C50" s="225">
        <f>IFERROR(ENJSA_PLS!D21/ENJSA_PLS!D4,"")</f>
        <v>-2.5462594785704267E-2</v>
      </c>
      <c r="D50" s="225">
        <f>IFERROR(ENJSA_PLS!F21/ENJSA_PLS!F4,"")</f>
        <v>2.6782887194274314E-2</v>
      </c>
      <c r="E50" s="225">
        <f>IFERROR(ENJSA_PLS!H21/ENJSA_PLS!H4,"")</f>
        <v>0.17167861878723037</v>
      </c>
      <c r="F50" s="225">
        <f>IFERROR(ENJSA_PLS!I21/ENJSA_PLS!I4,"")</f>
        <v>7.4714934989664195E-2</v>
      </c>
      <c r="G50" s="225">
        <f>IFERROR(ENJSA_PLS!J21/ENJSA_PLS!J4,"")</f>
        <v>4.9991857868863017E-2</v>
      </c>
      <c r="H50" s="225">
        <f>IFERROR(ENJSA_PLS!K21/ENJSA_PLS!K4,"")</f>
        <v>5.3134091584959402E-2</v>
      </c>
      <c r="I50" s="225" t="str">
        <f>IFERROR(ENJSA_PLS!L21/ENJSA_PLS!L4,"")</f>
        <v/>
      </c>
    </row>
    <row r="51" spans="1:9" ht="13.5" customHeight="1" x14ac:dyDescent="0.2">
      <c r="A51" s="187"/>
      <c r="B51" s="230"/>
      <c r="C51" s="230"/>
      <c r="D51" s="230"/>
      <c r="E51" s="230"/>
      <c r="F51" s="230"/>
      <c r="G51" s="230"/>
      <c r="H51" s="230"/>
    </row>
    <row r="52" spans="1:9" ht="13.5" customHeight="1" x14ac:dyDescent="0.2">
      <c r="A52" s="231" t="s">
        <v>737</v>
      </c>
      <c r="B52" s="232"/>
      <c r="C52" s="232"/>
      <c r="D52" s="232"/>
      <c r="E52" s="232"/>
      <c r="F52" s="232"/>
      <c r="G52" s="232"/>
      <c r="H52" s="232"/>
    </row>
    <row r="53" spans="1:9" ht="13.5" customHeight="1" x14ac:dyDescent="0.2">
      <c r="A53" s="221" t="s">
        <v>45</v>
      </c>
      <c r="B53" s="184" t="s">
        <v>738</v>
      </c>
      <c r="C53" s="184" t="s">
        <v>739</v>
      </c>
      <c r="D53" s="184" t="s">
        <v>740</v>
      </c>
      <c r="E53" s="184" t="s">
        <v>741</v>
      </c>
      <c r="F53" s="184" t="s">
        <v>742</v>
      </c>
      <c r="G53" s="184" t="s">
        <v>743</v>
      </c>
      <c r="H53" s="184" t="s">
        <v>744</v>
      </c>
    </row>
    <row r="54" spans="1:9" ht="13.5" customHeight="1" x14ac:dyDescent="0.2">
      <c r="A54" s="220" t="s">
        <v>745</v>
      </c>
      <c r="B54" s="220"/>
      <c r="C54" s="220"/>
      <c r="D54" s="220"/>
      <c r="E54" s="220"/>
      <c r="F54" s="220"/>
      <c r="G54" s="220"/>
      <c r="H54" s="220"/>
    </row>
    <row r="55" spans="1:9" ht="13.5" customHeight="1" x14ac:dyDescent="0.2">
      <c r="A55" s="222" t="s">
        <v>746</v>
      </c>
      <c r="B55" s="223"/>
      <c r="C55" s="223"/>
      <c r="D55" s="223"/>
      <c r="E55" s="223"/>
      <c r="F55" s="223"/>
      <c r="G55" s="223"/>
      <c r="H55" s="223"/>
    </row>
    <row r="56" spans="1:9" ht="13.5" customHeight="1" x14ac:dyDescent="0.2">
      <c r="A56" s="187" t="s">
        <v>51</v>
      </c>
      <c r="B56" s="224">
        <f>IFERROR((ENJSA_BS!B5-ENJSA_BS!C5)/ABS(ENJSA_BS!C5),"")</f>
        <v>-0.66349307935616308</v>
      </c>
      <c r="C56" s="224">
        <f>IFERROR((ENJSA_BS!D5-ENJSA_BS!E5)/ABS(ENJSA_BS!E5),"")</f>
        <v>0.45993193864383841</v>
      </c>
      <c r="D56" s="224">
        <f>IFERROR((ENJSA_BS!F5-ENJSA_BS!G5)/ABS(ENJSA_BS!G5),"")</f>
        <v>-0.67366010544823107</v>
      </c>
      <c r="E56" s="224">
        <f>IFERROR((ENJSA_BS!G5-ENJSA_BS!I5)/ABS(ENJSA_BS!I5),"")</f>
        <v>32.479094254257362</v>
      </c>
      <c r="F56" s="224">
        <f>IFERROR((ENJSA_BS!I5-ENJSA_BS!J5)/ABS(ENJSA_BS!J5),"")</f>
        <v>-0.30001308253379794</v>
      </c>
      <c r="G56" s="224">
        <f>IFERROR((ENJSA_BS!J5-ENJSA_BS!K5)/ABS(ENJSA_BS!K5),"")</f>
        <v>0.25284916962191295</v>
      </c>
      <c r="H56" s="224" t="str">
        <f>IFERROR((ENJSA_BS!K5-ENJSA_BS!L5)/ABS(ENJSA_BS!L5),"")</f>
        <v/>
      </c>
    </row>
    <row r="57" spans="1:9" ht="13.5" customHeight="1" x14ac:dyDescent="0.2">
      <c r="A57" s="187" t="s">
        <v>747</v>
      </c>
      <c r="B57" s="224">
        <f>IFERROR((ENJSA_BS!B6-ENJSA_BS!C6)/ABS(ENJSA_BS!C6),"")</f>
        <v>-3.8741312641977145E-2</v>
      </c>
      <c r="C57" s="224">
        <f>IFERROR((ENJSA_BS!D6-ENJSA_BS!E6)/ABS(ENJSA_BS!E6),"")</f>
        <v>7.7523632312767642E-3</v>
      </c>
      <c r="D57" s="224">
        <f>IFERROR((ENJSA_BS!F6-ENJSA_BS!G6)/ABS(ENJSA_BS!G6),"")</f>
        <v>8.2089153858696459E-2</v>
      </c>
      <c r="E57" s="224">
        <f>IFERROR((ENJSA_BS!G6-ENJSA_BS!I6)/ABS(ENJSA_BS!I6),"")</f>
        <v>0.66070057636557389</v>
      </c>
      <c r="F57" s="224">
        <f>IFERROR((ENJSA_BS!I6-ENJSA_BS!J6)/ABS(ENJSA_BS!J6),"")</f>
        <v>0.41232530645897641</v>
      </c>
      <c r="G57" s="224">
        <f>IFERROR((ENJSA_BS!J6-ENJSA_BS!K6)/ABS(ENJSA_BS!K6),"")</f>
        <v>1.1374648400163851</v>
      </c>
      <c r="H57" s="224" t="str">
        <f>IFERROR((ENJSA_BS!K6-ENJSA_BS!L6)/ABS(ENJSA_BS!L6),"")</f>
        <v/>
      </c>
    </row>
    <row r="58" spans="1:9" ht="13.5" customHeight="1" x14ac:dyDescent="0.2">
      <c r="A58" s="187" t="s">
        <v>748</v>
      </c>
      <c r="B58" s="224">
        <f>IFERROR((ENJSA_BS!B7-ENJSA_BS!C7)/ABS(ENJSA_BS!C7),"")</f>
        <v>0.27583577770011319</v>
      </c>
      <c r="C58" s="224">
        <f>IFERROR((ENJSA_BS!D7-ENJSA_BS!E7)/ABS(ENJSA_BS!E7),"")</f>
        <v>-8.8028489938039217E-2</v>
      </c>
      <c r="D58" s="224">
        <f>IFERROR((ENJSA_BS!F7-ENJSA_BS!G7)/ABS(ENJSA_BS!G7),"")</f>
        <v>0.65747697009340011</v>
      </c>
      <c r="E58" s="224">
        <f>IFERROR((ENJSA_BS!G7-ENJSA_BS!I7)/ABS(ENJSA_BS!I7),"")</f>
        <v>0.68165044353785931</v>
      </c>
      <c r="F58" s="224">
        <f>IFERROR((ENJSA_BS!I7-ENJSA_BS!J7)/ABS(ENJSA_BS!J7),"")</f>
        <v>0.89314997479335301</v>
      </c>
      <c r="G58" s="224">
        <f>IFERROR((ENJSA_BS!J7-ENJSA_BS!K7)/ABS(ENJSA_BS!K7),"")</f>
        <v>-2.1860104238142785E-2</v>
      </c>
      <c r="H58" s="224" t="str">
        <f>IFERROR((ENJSA_BS!K7-ENJSA_BS!L7)/ABS(ENJSA_BS!L7),"")</f>
        <v/>
      </c>
    </row>
    <row r="59" spans="1:9" ht="13.5" customHeight="1" x14ac:dyDescent="0.2">
      <c r="A59" s="187" t="s">
        <v>54</v>
      </c>
      <c r="B59" s="224">
        <f>IFERROR((ENJSA_BS!B10-ENJSA_BS!C10)/ABS(ENJSA_BS!C10),"")</f>
        <v>-0.29608444710003023</v>
      </c>
      <c r="C59" s="224">
        <f>IFERROR((ENJSA_BS!D10-ENJSA_BS!E10)/ABS(ENJSA_BS!E10),"")</f>
        <v>-0.32366598590710116</v>
      </c>
      <c r="D59" s="224">
        <f>IFERROR((ENJSA_BS!F10-ENJSA_BS!G10)/ABS(ENJSA_BS!G10),"")</f>
        <v>0.2732490952134225</v>
      </c>
      <c r="E59" s="224">
        <f>IFERROR((ENJSA_BS!G10-ENJSA_BS!I10)/ABS(ENJSA_BS!I10),"")</f>
        <v>5.9273125488881435</v>
      </c>
      <c r="F59" s="224">
        <f>IFERROR((ENJSA_BS!I10-ENJSA_BS!J10)/ABS(ENJSA_BS!J10),"")</f>
        <v>1.6392157556668376</v>
      </c>
      <c r="G59" s="224">
        <f>IFERROR((ENJSA_BS!J10-ENJSA_BS!K10)/ABS(ENJSA_BS!K10),"")</f>
        <v>0.2848438459148333</v>
      </c>
      <c r="H59" s="224" t="str">
        <f>IFERROR((ENJSA_BS!K10-ENJSA_BS!L10)/ABS(ENJSA_BS!L10),"")</f>
        <v/>
      </c>
    </row>
    <row r="60" spans="1:9" ht="13.5" customHeight="1" x14ac:dyDescent="0.2">
      <c r="A60" s="222" t="s">
        <v>56</v>
      </c>
      <c r="B60" s="225">
        <f>IFERROR((ENJSA_BS!B13-ENJSA_BS!C13)/ABS(ENJSA_BS!C13),"")</f>
        <v>-7.3086867249581178E-3</v>
      </c>
      <c r="C60" s="225">
        <f>IFERROR((ENJSA_BS!D13-ENJSA_BS!E13)/ABS(ENJSA_BS!E13),"")</f>
        <v>-0.12516497157448228</v>
      </c>
      <c r="D60" s="225">
        <f>IFERROR((ENJSA_BS!F13-ENJSA_BS!G13)/ABS(ENJSA_BS!G13),"")</f>
        <v>0.10574321250329799</v>
      </c>
      <c r="E60" s="225">
        <f>IFERROR((ENJSA_BS!G13-ENJSA_BS!I13)/ABS(ENJSA_BS!I13),"")</f>
        <v>1.875603536176299</v>
      </c>
      <c r="F60" s="226">
        <f>IFERROR((ENJSA_BS!I13-ENJSA_BS!J13)/ABS(ENJSA_BS!J13),"")</f>
        <v>0.90219737222752938</v>
      </c>
      <c r="G60" s="226">
        <f>IFERROR((ENJSA_BS!J13-ENJSA_BS!K13)/ABS(ENJSA_BS!K13),"")</f>
        <v>0.1634373378532637</v>
      </c>
      <c r="H60" s="226" t="str">
        <f>IFERROR((ENJSA_BS!K13-ENJSA_BS!L13)/ABS(ENJSA_BS!L13),"")</f>
        <v/>
      </c>
    </row>
    <row r="61" spans="1:9" ht="13.5" customHeight="1" x14ac:dyDescent="0.2">
      <c r="A61" s="187" t="s">
        <v>57</v>
      </c>
      <c r="B61" s="224">
        <f>IFERROR((ENJSA_BS!B19-ENJSA_BS!C19)/ABS(ENJSA_BS!C19),"")</f>
        <v>5.0305859824198523E-2</v>
      </c>
      <c r="C61" s="224">
        <f>IFERROR((ENJSA_BS!D19-ENJSA_BS!E19)/ABS(ENJSA_BS!E19),"")</f>
        <v>4.635944801211541E-2</v>
      </c>
      <c r="D61" s="224">
        <f>IFERROR((ENJSA_BS!F19-ENJSA_BS!G19)/ABS(ENJSA_BS!G19),"")</f>
        <v>0.12072855319863264</v>
      </c>
      <c r="E61" s="224">
        <f>IFERROR((ENJSA_BS!G19-ENJSA_BS!I19)/ABS(ENJSA_BS!I19),"")</f>
        <v>3.0715337292464171</v>
      </c>
      <c r="F61" s="224">
        <f>IFERROR((ENJSA_BS!I19-ENJSA_BS!J19)/ABS(ENJSA_BS!J19),"")</f>
        <v>0.60053200037683363</v>
      </c>
      <c r="G61" s="224">
        <f>IFERROR((ENJSA_BS!J19-ENJSA_BS!K19)/ABS(ENJSA_BS!K19),"")</f>
        <v>0.86592505733719649</v>
      </c>
      <c r="H61" s="224" t="str">
        <f>IFERROR((ENJSA_BS!K19-ENJSA_BS!L19)/ABS(ENJSA_BS!L19),"")</f>
        <v/>
      </c>
    </row>
    <row r="62" spans="1:9" ht="13.5" customHeight="1" x14ac:dyDescent="0.2">
      <c r="A62" s="187" t="s">
        <v>58</v>
      </c>
      <c r="B62" s="224">
        <f>IFERROR((ENJSA_BS!B20-ENJSA_BS!C20)/ABS(ENJSA_BS!C20),"")</f>
        <v>-5.2237316653162273E-2</v>
      </c>
      <c r="C62" s="224">
        <f>IFERROR((ENJSA_BS!D20-ENJSA_BS!E20)/ABS(ENJSA_BS!E20),"")</f>
        <v>-5.0287497384323331E-2</v>
      </c>
      <c r="D62" s="224">
        <f>IFERROR((ENJSA_BS!F20-ENJSA_BS!G20)/ABS(ENJSA_BS!G20),"")</f>
        <v>-4.557490532448278E-2</v>
      </c>
      <c r="E62" s="224">
        <f>IFERROR((ENJSA_BS!G20-ENJSA_BS!I20)/ABS(ENJSA_BS!I20),"")</f>
        <v>4.686030132834091</v>
      </c>
      <c r="F62" s="224">
        <f>IFERROR((ENJSA_BS!I20-ENJSA_BS!J20)/ABS(ENJSA_BS!J20),"")</f>
        <v>-2.0701628872323515E-2</v>
      </c>
      <c r="G62" s="224">
        <f>IFERROR((ENJSA_BS!J20-ENJSA_BS!K20)/ABS(ENJSA_BS!K20),"")</f>
        <v>-2.9223757540958448E-2</v>
      </c>
      <c r="H62" s="224" t="str">
        <f>IFERROR((ENJSA_BS!K20-ENJSA_BS!L20)/ABS(ENJSA_BS!L20),"")</f>
        <v/>
      </c>
    </row>
    <row r="63" spans="1:9" ht="13.5" customHeight="1" x14ac:dyDescent="0.2">
      <c r="A63" s="187" t="s">
        <v>749</v>
      </c>
      <c r="B63" s="224">
        <f>IFERROR((ENJSA_BS!B22-ENJSA_BS!C22)/ABS(ENJSA_BS!C22),"")</f>
        <v>-1.1531410210739369E-2</v>
      </c>
      <c r="C63" s="224">
        <f>IFERROR((ENJSA_BS!D22-ENJSA_BS!E22)/ABS(ENJSA_BS!E22),"")</f>
        <v>-0.19763214266200987</v>
      </c>
      <c r="D63" s="224">
        <f>IFERROR((ENJSA_BS!F22-ENJSA_BS!G22)/ABS(ENJSA_BS!G22),"")</f>
        <v>7.4924334948730742E-2</v>
      </c>
      <c r="E63" s="224">
        <f>IFERROR((ENJSA_BS!G22-ENJSA_BS!I22)/ABS(ENJSA_BS!I22),"")</f>
        <v>60.350842424451479</v>
      </c>
      <c r="F63" s="224">
        <f>IFERROR((ENJSA_BS!I22-ENJSA_BS!J22)/ABS(ENJSA_BS!J22),"")</f>
        <v>-0.11912127858220128</v>
      </c>
      <c r="G63" s="224">
        <f>IFERROR((ENJSA_BS!J22-ENJSA_BS!K22)/ABS(ENJSA_BS!K22),"")</f>
        <v>0.4834699229634486</v>
      </c>
      <c r="H63" s="224" t="str">
        <f>IFERROR((ENJSA_BS!K22-ENJSA_BS!L22)/ABS(ENJSA_BS!L22),"")</f>
        <v/>
      </c>
    </row>
    <row r="64" spans="1:9" ht="13.5" customHeight="1" x14ac:dyDescent="0.2">
      <c r="A64" s="222" t="s">
        <v>60</v>
      </c>
      <c r="B64" s="225">
        <f>IFERROR((ENJSA_BS!B24-ENJSA_BS!C24)/ABS(ENJSA_BS!C24),"")</f>
        <v>2.2666290164481951E-2</v>
      </c>
      <c r="C64" s="225">
        <f>IFERROR((ENJSA_BS!D24-ENJSA_BS!E24)/ABS(ENJSA_BS!E24),"")</f>
        <v>-2.7335784049795961E-2</v>
      </c>
      <c r="D64" s="225">
        <f>IFERROR((ENJSA_BS!F24-ENJSA_BS!G24)/ABS(ENJSA_BS!G24),"")</f>
        <v>2.3472982896274402E-2</v>
      </c>
      <c r="E64" s="225">
        <f>IFERROR((ENJSA_BS!G24-ENJSA_BS!I24)/ABS(ENJSA_BS!I24),"")</f>
        <v>3.785674716728856</v>
      </c>
      <c r="F64" s="226">
        <f>IFERROR((ENJSA_BS!I24-ENJSA_BS!J24)/ABS(ENJSA_BS!J24),"")</f>
        <v>3.9158458701504771E-2</v>
      </c>
      <c r="G64" s="226">
        <f>IFERROR((ENJSA_BS!J24-ENJSA_BS!K24)/ABS(ENJSA_BS!K24),"")</f>
        <v>1.3995721681889669E-2</v>
      </c>
      <c r="H64" s="226" t="str">
        <f>IFERROR((ENJSA_BS!K24-ENJSA_BS!L24)/ABS(ENJSA_BS!L24),"")</f>
        <v/>
      </c>
    </row>
    <row r="65" spans="1:8" ht="13.5" customHeight="1" x14ac:dyDescent="0.2">
      <c r="A65" s="222" t="s">
        <v>61</v>
      </c>
      <c r="B65" s="225">
        <f>IFERROR((ENJSA_BS!B25-ENJSA_BS!C25)/ABS(ENJSA_BS!C25),"")</f>
        <v>1.4096727645597475E-2</v>
      </c>
      <c r="C65" s="225">
        <f>IFERROR((ENJSA_BS!D25-ENJSA_BS!E25)/ABS(ENJSA_BS!E25),"")</f>
        <v>-5.7468477718993778E-2</v>
      </c>
      <c r="D65" s="225">
        <f>IFERROR((ENJSA_BS!F25-ENJSA_BS!G25)/ABS(ENJSA_BS!G25),"")</f>
        <v>4.7478047368186074E-2</v>
      </c>
      <c r="E65" s="225">
        <f>IFERROR((ENJSA_BS!G25-ENJSA_BS!I25)/ABS(ENJSA_BS!I25),"")</f>
        <v>3.0087338982003966</v>
      </c>
      <c r="F65" s="226">
        <f>IFERROR((ENJSA_BS!I25-ENJSA_BS!J25)/ABS(ENJSA_BS!J25),"")</f>
        <v>0.2743368592865707</v>
      </c>
      <c r="G65" s="226">
        <f>IFERROR((ENJSA_BS!J25-ENJSA_BS!K25)/ABS(ENJSA_BS!K25),"")</f>
        <v>5.0775187891896383E-2</v>
      </c>
      <c r="H65" s="226" t="str">
        <f>IFERROR((ENJSA_BS!K25-ENJSA_BS!L25)/ABS(ENJSA_BS!L25),"")</f>
        <v/>
      </c>
    </row>
    <row r="66" spans="1:8" ht="13.5" customHeight="1" x14ac:dyDescent="0.2">
      <c r="A66" s="222" t="s">
        <v>750</v>
      </c>
      <c r="B66" s="226"/>
      <c r="C66" s="226"/>
      <c r="D66" s="226"/>
      <c r="E66" s="226"/>
      <c r="F66" s="226"/>
      <c r="G66" s="226"/>
      <c r="H66" s="226"/>
    </row>
    <row r="67" spans="1:8" ht="13.5" customHeight="1" x14ac:dyDescent="0.2">
      <c r="A67" s="227" t="s">
        <v>751</v>
      </c>
      <c r="B67" s="228">
        <f>IFERROR((ENJSA_BS!B30-ENJSA_BS!C30)/ABS(ENJSA_BS!C30),"")</f>
        <v>-0.31607749223011028</v>
      </c>
      <c r="C67" s="228">
        <f>IFERROR((ENJSA_BS!D30-ENJSA_BS!E30)/ABS(ENJSA_BS!E30),"")</f>
        <v>0.27678719831267157</v>
      </c>
      <c r="D67" s="228">
        <f>IFERROR((ENJSA_BS!F30-ENJSA_BS!G30)/ABS(ENJSA_BS!G30),"")</f>
        <v>0.12266876846934796</v>
      </c>
      <c r="E67" s="228">
        <f>IFERROR((ENJSA_BS!G30-ENJSA_BS!I30)/ABS(ENJSA_BS!I30),"")</f>
        <v>1.1752624710332831</v>
      </c>
      <c r="F67" s="228">
        <f>IFERROR((ENJSA_BS!I30-ENJSA_BS!J30)/ABS(ENJSA_BS!J30),"")</f>
        <v>2.3658462784395566</v>
      </c>
      <c r="G67" s="228">
        <f>IFERROR((ENJSA_BS!J30-ENJSA_BS!K30)/ABS(ENJSA_BS!K30),"")</f>
        <v>-0.47836364932595205</v>
      </c>
      <c r="H67" s="228" t="str">
        <f>IFERROR((ENJSA_BS!K30-ENJSA_BS!L30)/ABS(ENJSA_BS!L30),"")</f>
        <v/>
      </c>
    </row>
    <row r="68" spans="1:8" ht="13.5" customHeight="1" x14ac:dyDescent="0.2">
      <c r="A68" s="187" t="s">
        <v>63</v>
      </c>
      <c r="B68" s="224">
        <f>IFERROR((ENJSA_BS!B32-ENJSA_BS!C32)/ABS(ENJSA_BS!C32),"")</f>
        <v>8.9943312546689316E-2</v>
      </c>
      <c r="C68" s="224">
        <f>IFERROR((ENJSA_BS!D32-ENJSA_BS!E32)/ABS(ENJSA_BS!E32),"")</f>
        <v>-0.15182412211016172</v>
      </c>
      <c r="D68" s="224">
        <f>IFERROR((ENJSA_BS!F32-ENJSA_BS!G32)/ABS(ENJSA_BS!G32),"")</f>
        <v>0.45258384370240912</v>
      </c>
      <c r="E68" s="224">
        <f>IFERROR((ENJSA_BS!G32-ENJSA_BS!I32)/ABS(ENJSA_BS!I32),"")</f>
        <v>1.8029453875020722</v>
      </c>
      <c r="F68" s="224">
        <f>IFERROR((ENJSA_BS!I32-ENJSA_BS!J32)/ABS(ENJSA_BS!J32),"")</f>
        <v>1.0796225573390961</v>
      </c>
      <c r="G68" s="224">
        <f>IFERROR((ENJSA_BS!J32-ENJSA_BS!K32)/ABS(ENJSA_BS!K32),"")</f>
        <v>-0.26698485997197141</v>
      </c>
      <c r="H68" s="224" t="str">
        <f>IFERROR((ENJSA_BS!K32-ENJSA_BS!L32)/ABS(ENJSA_BS!L32),"")</f>
        <v/>
      </c>
    </row>
    <row r="69" spans="1:8" ht="13.5" customHeight="1" x14ac:dyDescent="0.2">
      <c r="A69" s="222" t="s">
        <v>64</v>
      </c>
      <c r="B69" s="225">
        <f>IFERROR((ENJSA_BS!B39-ENJSA_BS!C39)/ABS(ENJSA_BS!C39),"")</f>
        <v>-4.3823480420622535E-2</v>
      </c>
      <c r="C69" s="225">
        <f>IFERROR((ENJSA_BS!D39-ENJSA_BS!E39)/ABS(ENJSA_BS!E39),"")</f>
        <v>-2.4942207618335762E-2</v>
      </c>
      <c r="D69" s="225">
        <f>IFERROR((ENJSA_BS!F39-ENJSA_BS!G39)/ABS(ENJSA_BS!G39),"")</f>
        <v>-6.7906146111732762E-2</v>
      </c>
      <c r="E69" s="225">
        <f>IFERROR((ENJSA_BS!G39-ENJSA_BS!I39)/ABS(ENJSA_BS!I39),"")</f>
        <v>2.5691928849893144</v>
      </c>
      <c r="F69" s="226">
        <f>IFERROR((ENJSA_BS!I39-ENJSA_BS!J39)/ABS(ENJSA_BS!J39),"")</f>
        <v>0.74107867044901965</v>
      </c>
      <c r="G69" s="226">
        <f>IFERROR((ENJSA_BS!J39-ENJSA_BS!K39)/ABS(ENJSA_BS!K39),"")</f>
        <v>0.1304864867224334</v>
      </c>
      <c r="H69" s="226" t="str">
        <f>IFERROR((ENJSA_BS!K39-ENJSA_BS!L39)/ABS(ENJSA_BS!L39),"")</f>
        <v/>
      </c>
    </row>
    <row r="70" spans="1:8" ht="13.5" customHeight="1" x14ac:dyDescent="0.2">
      <c r="A70" s="187" t="s">
        <v>65</v>
      </c>
      <c r="B70" s="224">
        <f>IFERROR((ENJSA_BS!B41-ENJSA_BS!C41)/ABS(ENJSA_BS!C41),"")</f>
        <v>0.10065531915975726</v>
      </c>
      <c r="C70" s="224">
        <f>IFERROR((ENJSA_BS!D41-ENJSA_BS!E41)/ABS(ENJSA_BS!E41),"")</f>
        <v>0.26291098412767805</v>
      </c>
      <c r="D70" s="224">
        <f>IFERROR((ENJSA_BS!F41-ENJSA_BS!G41)/ABS(ENJSA_BS!G41),"")</f>
        <v>1.0388488647793834</v>
      </c>
      <c r="E70" s="224">
        <f>IFERROR((ENJSA_BS!G41-ENJSA_BS!I41)/ABS(ENJSA_BS!I41),"")</f>
        <v>0.47569242582256488</v>
      </c>
      <c r="F70" s="224">
        <f>IFERROR((ENJSA_BS!I41-ENJSA_BS!J41)/ABS(ENJSA_BS!J41),"")</f>
        <v>-0.38210929307787939</v>
      </c>
      <c r="G70" s="224">
        <f>IFERROR((ENJSA_BS!J41-ENJSA_BS!K41)/ABS(ENJSA_BS!K41),"")</f>
        <v>0.31829229248063851</v>
      </c>
      <c r="H70" s="224" t="str">
        <f>IFERROR((ENJSA_BS!K41-ENJSA_BS!L41)/ABS(ENJSA_BS!L41),"")</f>
        <v/>
      </c>
    </row>
    <row r="71" spans="1:8" ht="13.5" customHeight="1" x14ac:dyDescent="0.2">
      <c r="A71" s="222" t="s">
        <v>66</v>
      </c>
      <c r="B71" s="225">
        <f>IFERROR((ENJSA_BS!B47-ENJSA_BS!C47)/ABS(ENJSA_BS!C47),"")</f>
        <v>0.17990386827331969</v>
      </c>
      <c r="C71" s="225">
        <f>IFERROR((ENJSA_BS!D47-ENJSA_BS!E47)/ABS(ENJSA_BS!E47),"")</f>
        <v>-7.3707169085354901E-3</v>
      </c>
      <c r="D71" s="225">
        <f>IFERROR((ENJSA_BS!F47-ENJSA_BS!G47)/ABS(ENJSA_BS!G47),"")</f>
        <v>0.66734634919568969</v>
      </c>
      <c r="E71" s="225">
        <f>IFERROR((ENJSA_BS!G47-ENJSA_BS!I47)/ABS(ENJSA_BS!I47),"")</f>
        <v>1.0435900662676934</v>
      </c>
      <c r="F71" s="226">
        <f>IFERROR((ENJSA_BS!I47-ENJSA_BS!J47)/ABS(ENJSA_BS!J47),"")</f>
        <v>-0.1677783679938627</v>
      </c>
      <c r="G71" s="226">
        <f>IFERROR((ENJSA_BS!J47-ENJSA_BS!K47)/ABS(ENJSA_BS!K47),"")</f>
        <v>0.26129954636014491</v>
      </c>
      <c r="H71" s="226" t="str">
        <f>IFERROR((ENJSA_BS!K47-ENJSA_BS!L47)/ABS(ENJSA_BS!L47),"")</f>
        <v/>
      </c>
    </row>
    <row r="72" spans="1:8" ht="13.5" customHeight="1" x14ac:dyDescent="0.2">
      <c r="A72" s="222" t="s">
        <v>67</v>
      </c>
      <c r="B72" s="225">
        <f>IFERROR((ENJSA_BS!B48-ENJSA_BS!C48)/ABS(ENJSA_BS!C48),"")</f>
        <v>3.6316301066329292E-2</v>
      </c>
      <c r="C72" s="225">
        <f>IFERROR((ENJSA_BS!D48-ENJSA_BS!E48)/ABS(ENJSA_BS!E48),"")</f>
        <v>-1.8720013716402657E-2</v>
      </c>
      <c r="D72" s="225">
        <f>IFERROR((ENJSA_BS!F48-ENJSA_BS!G48)/ABS(ENJSA_BS!G48),"")</f>
        <v>0.10457462991992905</v>
      </c>
      <c r="E72" s="225">
        <f>IFERROR((ENJSA_BS!G48-ENJSA_BS!I48)/ABS(ENJSA_BS!I48),"")</f>
        <v>2.0372839505615552</v>
      </c>
      <c r="F72" s="226">
        <f>IFERROR((ENJSA_BS!I48-ENJSA_BS!J48)/ABS(ENJSA_BS!J48),"")</f>
        <v>0.26095592244791554</v>
      </c>
      <c r="G72" s="226">
        <f>IFERROR((ENJSA_BS!J48-ENJSA_BS!K48)/ABS(ENJSA_BS!K48),"")</f>
        <v>0.19601434298445833</v>
      </c>
      <c r="H72" s="226" t="str">
        <f>IFERROR((ENJSA_BS!K48-ENJSA_BS!L48)/ABS(ENJSA_BS!L48),"")</f>
        <v/>
      </c>
    </row>
    <row r="73" spans="1:8" ht="13.5" customHeight="1" x14ac:dyDescent="0.2">
      <c r="A73" s="187" t="s">
        <v>752</v>
      </c>
      <c r="B73" s="224">
        <f>IFERROR((ENJSA_BS!B56-ENJSA_BS!C56)/ABS(ENJSA_BS!C56),"")</f>
        <v>-0.25616689759975514</v>
      </c>
      <c r="C73" s="224">
        <f>IFERROR((ENJSA_BS!D56-ENJSA_BS!E56)/ABS(ENJSA_BS!E56),"")</f>
        <v>0.15799067857469062</v>
      </c>
      <c r="D73" s="224">
        <f>IFERROR((ENJSA_BS!F56-ENJSA_BS!G56)/ABS(ENJSA_BS!G56),"")</f>
        <v>9.7801995783298619</v>
      </c>
      <c r="E73" s="224">
        <f>IFERROR((ENJSA_BS!G56-ENJSA_BS!I56)/ABS(ENJSA_BS!I56),"")</f>
        <v>-0.30227808050904614</v>
      </c>
      <c r="F73" s="224">
        <f>IFERROR((ENJSA_BS!I56-ENJSA_BS!J56)/ABS(ENJSA_BS!J56),"")</f>
        <v>0.24742731489386913</v>
      </c>
      <c r="G73" s="224">
        <f>IFERROR((ENJSA_BS!J56-ENJSA_BS!K56)/ABS(ENJSA_BS!K56),"")</f>
        <v>-0.45896631728986892</v>
      </c>
      <c r="H73" s="224" t="str">
        <f>IFERROR((ENJSA_BS!K56-ENJSA_BS!L56)/ABS(ENJSA_BS!L56),"")</f>
        <v/>
      </c>
    </row>
    <row r="74" spans="1:8" ht="13.5" customHeight="1" x14ac:dyDescent="0.2">
      <c r="A74" s="227" t="s">
        <v>753</v>
      </c>
      <c r="B74" s="228">
        <f>IFERROR((ENJSA_BS!B57-ENJSA_BS!C57)/ABS(ENJSA_BS!C57),"")</f>
        <v>1.4992647087763435</v>
      </c>
      <c r="C74" s="228">
        <f>IFERROR((ENJSA_BS!D57-ENJSA_BS!E57)/ABS(ENJSA_BS!E57),"")</f>
        <v>-1.7440567857394749</v>
      </c>
      <c r="D74" s="228">
        <f>IFERROR((ENJSA_BS!F57-ENJSA_BS!G57)/ABS(ENJSA_BS!G57),"")</f>
        <v>-0.78107960625281081</v>
      </c>
      <c r="E74" s="228">
        <f>IFERROR((ENJSA_BS!G57-ENJSA_BS!I57)/ABS(ENJSA_BS!I57),"")</f>
        <v>8.0408558129101007</v>
      </c>
      <c r="F74" s="228">
        <f>IFERROR((ENJSA_BS!I57-ENJSA_BS!J57)/ABS(ENJSA_BS!J57),"")</f>
        <v>1.0983760893569174</v>
      </c>
      <c r="G74" s="228">
        <f>IFERROR((ENJSA_BS!J57-ENJSA_BS!K57)/ABS(ENJSA_BS!K57),"")</f>
        <v>5.2302485821702709E-2</v>
      </c>
      <c r="H74" s="228" t="str">
        <f>IFERROR((ENJSA_BS!K57-ENJSA_BS!L57)/ABS(ENJSA_BS!L57),"")</f>
        <v/>
      </c>
    </row>
    <row r="75" spans="1:8" ht="13.5" customHeight="1" x14ac:dyDescent="0.2">
      <c r="A75" s="222" t="s">
        <v>70</v>
      </c>
      <c r="B75" s="225">
        <f>IFERROR((ENJSA_BS!B58-ENJSA_BS!C58)/ABS(ENJSA_BS!C58),"")</f>
        <v>-1.7326382506087173E-2</v>
      </c>
      <c r="C75" s="225">
        <f>IFERROR((ENJSA_BS!D58-ENJSA_BS!E58)/ABS(ENJSA_BS!E58),"")</f>
        <v>-0.10731917195371883</v>
      </c>
      <c r="D75" s="225">
        <f>IFERROR((ENJSA_BS!F58-ENJSA_BS!G58)/ABS(ENJSA_BS!G58),"")</f>
        <v>-1.7837295008053193E-2</v>
      </c>
      <c r="E75" s="225">
        <f>IFERROR((ENJSA_BS!G58-ENJSA_BS!I58)/ABS(ENJSA_BS!I58),"")</f>
        <v>5.3217398201634394</v>
      </c>
      <c r="F75" s="226">
        <f>IFERROR((ENJSA_BS!I58-ENJSA_BS!J58)/ABS(ENJSA_BS!J58),"")</f>
        <v>0.30736934282117945</v>
      </c>
      <c r="G75" s="226">
        <f>IFERROR((ENJSA_BS!J58-ENJSA_BS!K58)/ABS(ENJSA_BS!K58),"")</f>
        <v>-0.19157431605186553</v>
      </c>
      <c r="H75" s="226" t="str">
        <f>IFERROR((ENJSA_BS!K58-ENJSA_BS!L58)/ABS(ENJSA_BS!L58),"")</f>
        <v/>
      </c>
    </row>
    <row r="76" spans="1:8" ht="13.5" customHeight="1" x14ac:dyDescent="0.2">
      <c r="A76" s="187"/>
      <c r="B76" s="224"/>
      <c r="C76" s="224"/>
      <c r="D76" s="224"/>
      <c r="E76" s="224"/>
      <c r="F76" s="224"/>
      <c r="G76" s="224"/>
      <c r="H76" s="224"/>
    </row>
    <row r="77" spans="1:8" ht="13.5" customHeight="1" x14ac:dyDescent="0.2">
      <c r="A77" s="220" t="s">
        <v>754</v>
      </c>
      <c r="B77" s="229"/>
      <c r="C77" s="229"/>
      <c r="D77" s="229"/>
      <c r="E77" s="229"/>
      <c r="F77" s="229"/>
      <c r="G77" s="229"/>
      <c r="H77" s="229"/>
    </row>
    <row r="78" spans="1:8" ht="13.5" customHeight="1" x14ac:dyDescent="0.2">
      <c r="A78" s="222" t="s">
        <v>755</v>
      </c>
      <c r="B78" s="226"/>
      <c r="C78" s="226"/>
      <c r="D78" s="226"/>
      <c r="E78" s="226"/>
      <c r="F78" s="226"/>
      <c r="G78" s="226"/>
      <c r="H78" s="226"/>
    </row>
    <row r="79" spans="1:8" ht="13.5" customHeight="1" x14ac:dyDescent="0.2">
      <c r="A79" s="187" t="s">
        <v>466</v>
      </c>
      <c r="B79" s="224">
        <f>IFERROR((ENJSA_PLS!B4-ENJSA_PLS!C4)/ABS(ENJSA_PLS!C4),"")</f>
        <v>-6.572266475390752E-2</v>
      </c>
      <c r="C79" s="224">
        <f>IFERROR((ENJSA_PLS!D4-ENJSA_PLS!E4)/ABS(ENJSA_PLS!E4),"")</f>
        <v>-0.21736218296088994</v>
      </c>
      <c r="D79" s="224">
        <f>IFERROR((ENJSA_PLS!F4-ENJSA_PLS!G4)/ABS(ENJSA_PLS!G4),"")</f>
        <v>3.2773567004550155E-2</v>
      </c>
      <c r="E79" s="224">
        <f>IFERROR((ENJSA_PLS!H4-ENJSA_PLS!I4)/ABS(ENJSA_PLS!I4),"")</f>
        <v>1.7644989156460027</v>
      </c>
      <c r="F79" s="224">
        <f>IFERROR((ENJSA_PLS!I4-ENJSA_PLS!J4)/ABS(ENJSA_PLS!J4),"")</f>
        <v>0.4040261057453019</v>
      </c>
      <c r="G79" s="224">
        <f>IFERROR((ENJSA_PLS!J4-ENJSA_PLS!K4)/ABS(ENJSA_PLS!K4),"")</f>
        <v>0.11844486362959911</v>
      </c>
      <c r="H79" s="224" t="str">
        <f>IFERROR((ENJSA_PLS!K4-ENJSA_PLS!L4)/ABS(ENJSA_PLS!L4),"")</f>
        <v/>
      </c>
    </row>
    <row r="80" spans="1:8" ht="13.5" customHeight="1" x14ac:dyDescent="0.2">
      <c r="A80" s="187" t="s">
        <v>93</v>
      </c>
      <c r="B80" s="224">
        <f>IFERROR((ENJSA_PLS!B5-ENJSA_PLS!C5)/ABS(ENJSA_PLS!C5),"")</f>
        <v>0.10322921084471065</v>
      </c>
      <c r="C80" s="224">
        <f>IFERROR((ENJSA_PLS!D5-ENJSA_PLS!E5)/ABS(ENJSA_PLS!E5),"")</f>
        <v>0.28438735111964175</v>
      </c>
      <c r="D80" s="224">
        <f>IFERROR((ENJSA_PLS!F5-ENJSA_PLS!G5)/ABS(ENJSA_PLS!G5),"")</f>
        <v>-2.1393739195254686E-2</v>
      </c>
      <c r="E80" s="224">
        <f>IFERROR((ENJSA_PLS!H5-ENJSA_PLS!I5)/ABS(ENJSA_PLS!I5),"")</f>
        <v>-2.0818871802536747</v>
      </c>
      <c r="F80" s="224">
        <f>IFERROR((ENJSA_PLS!I5-ENJSA_PLS!J5)/ABS(ENJSA_PLS!J5),"")</f>
        <v>-0.38144232930597177</v>
      </c>
      <c r="G80" s="224">
        <f>IFERROR((ENJSA_PLS!J5-ENJSA_PLS!K5)/ABS(ENJSA_PLS!K5),"")</f>
        <v>-0.14241065777262032</v>
      </c>
      <c r="H80" s="224" t="str">
        <f>IFERROR((ENJSA_PLS!K5-ENJSA_PLS!L5)/ABS(ENJSA_PLS!L5),"")</f>
        <v/>
      </c>
    </row>
    <row r="81" spans="1:8" ht="13.5" customHeight="1" x14ac:dyDescent="0.2">
      <c r="A81" s="222" t="s">
        <v>94</v>
      </c>
      <c r="B81" s="225">
        <f>IFERROR((ENJSA_PLS!B6-ENJSA_PLS!C6)/ABS(ENJSA_PLS!C6),"")</f>
        <v>6.4079797835659938E-2</v>
      </c>
      <c r="C81" s="225">
        <f>IFERROR((ENJSA_PLS!D6-ENJSA_PLS!E6)/ABS(ENJSA_PLS!E6),"")</f>
        <v>0.15799207502170401</v>
      </c>
      <c r="D81" s="225">
        <f>IFERROR((ENJSA_PLS!F6-ENJSA_PLS!G6)/ABS(ENJSA_PLS!G6),"")</f>
        <v>0.10150111951951071</v>
      </c>
      <c r="E81" s="225">
        <f>IFERROR((ENJSA_PLS!H6-ENJSA_PLS!I6)/ABS(ENJSA_PLS!I6),"")</f>
        <v>0.91119435361303736</v>
      </c>
      <c r="F81" s="226">
        <f>IFERROR((ENJSA_PLS!I6-ENJSA_PLS!J6)/ABS(ENJSA_PLS!J6),"")</f>
        <v>0.46857256446285156</v>
      </c>
      <c r="G81" s="226">
        <f>IFERROR((ENJSA_PLS!J6-ENJSA_PLS!K6)/ABS(ENJSA_PLS!K6),"")</f>
        <v>5.5178707116195408E-2</v>
      </c>
      <c r="H81" s="226" t="str">
        <f>IFERROR((ENJSA_PLS!K6-ENJSA_PLS!L6)/ABS(ENJSA_PLS!L6),"")</f>
        <v/>
      </c>
    </row>
    <row r="82" spans="1:8" ht="13.5" customHeight="1" x14ac:dyDescent="0.2">
      <c r="A82" s="187" t="s">
        <v>95</v>
      </c>
      <c r="B82" s="224">
        <f>IFERROR((ENJSA_PLS!B7-ENJSA_PLS!C7)/ABS(ENJSA_PLS!C7),"")</f>
        <v>-6.4288713490901359E-2</v>
      </c>
      <c r="C82" s="224">
        <f>IFERROR((ENJSA_PLS!D7-ENJSA_PLS!E7)/ABS(ENJSA_PLS!E7),"")</f>
        <v>2.3260886584403773E-2</v>
      </c>
      <c r="D82" s="224">
        <f>IFERROR((ENJSA_PLS!F7-ENJSA_PLS!G7)/ABS(ENJSA_PLS!G7),"")</f>
        <v>-0.25301697572811993</v>
      </c>
      <c r="E82" s="224">
        <f>IFERROR((ENJSA_PLS!H7-ENJSA_PLS!I7)/ABS(ENJSA_PLS!I7),"")</f>
        <v>-1.286334790637973</v>
      </c>
      <c r="F82" s="224">
        <f>IFERROR((ENJSA_PLS!I7-ENJSA_PLS!J7)/ABS(ENJSA_PLS!J7),"")</f>
        <v>-0.33011048311689944</v>
      </c>
      <c r="G82" s="224">
        <f>IFERROR((ENJSA_PLS!J7-ENJSA_PLS!K7)/ABS(ENJSA_PLS!K7),"")</f>
        <v>-0.17171692041179737</v>
      </c>
      <c r="H82" s="224" t="str">
        <f>IFERROR((ENJSA_PLS!K7-ENJSA_PLS!L7)/ABS(ENJSA_PLS!L7),"")</f>
        <v/>
      </c>
    </row>
    <row r="83" spans="1:8" ht="13.5" customHeight="1" x14ac:dyDescent="0.2">
      <c r="A83" s="222" t="s">
        <v>99</v>
      </c>
      <c r="B83" s="225">
        <f>IFERROR((ENJSA_PLS!B10-ENJSA_PLS!C10)/ABS(ENJSA_PLS!C10),"")</f>
        <v>4.7701901600102778E-2</v>
      </c>
      <c r="C83" s="225">
        <f>IFERROR((ENJSA_PLS!D10-ENJSA_PLS!E10)/ABS(ENJSA_PLS!E10),"")</f>
        <v>0.28326061000921299</v>
      </c>
      <c r="D83" s="225">
        <f>IFERROR((ENJSA_PLS!F10-ENJSA_PLS!G10)/ABS(ENJSA_PLS!G10),"")</f>
        <v>-0.16187785812170752</v>
      </c>
      <c r="E83" s="225">
        <f>IFERROR((ENJSA_PLS!H10-ENJSA_PLS!I10)/ABS(ENJSA_PLS!I10),"")</f>
        <v>0.84911700749857522</v>
      </c>
      <c r="F83" s="226">
        <f>IFERROR((ENJSA_PLS!I10-ENJSA_PLS!J10)/ABS(ENJSA_PLS!J10),"")</f>
        <v>0.64895784823465175</v>
      </c>
      <c r="G83" s="226">
        <f>IFERROR((ENJSA_PLS!J10-ENJSA_PLS!K10)/ABS(ENJSA_PLS!K10),"")</f>
        <v>-0.10650752593004517</v>
      </c>
      <c r="H83" s="226" t="str">
        <f>IFERROR((ENJSA_PLS!K10-ENJSA_PLS!L10)/ABS(ENJSA_PLS!L10),"")</f>
        <v/>
      </c>
    </row>
    <row r="84" spans="1:8" ht="13.5" customHeight="1" x14ac:dyDescent="0.2">
      <c r="A84" s="222" t="s">
        <v>331</v>
      </c>
      <c r="B84" s="225">
        <f>IFERROR((ENJSA_PLS!B12-ENJSA_PLS!C12)/ABS(ENJSA_PLS!C12),"")</f>
        <v>4.0173116609335396E-2</v>
      </c>
      <c r="C84" s="225">
        <f>IFERROR((ENJSA_PLS!D12-ENJSA_PLS!E12)/ABS(ENJSA_PLS!E12),"")</f>
        <v>0.22929201589435144</v>
      </c>
      <c r="D84" s="225">
        <f>IFERROR((ENJSA_PLS!F12-ENJSA_PLS!G12)/ABS(ENJSA_PLS!G12),"")</f>
        <v>-0.10940957127350343</v>
      </c>
      <c r="E84" s="225">
        <f>IFERROR((ENJSA_PLS!H12-ENJSA_PLS!I12)/ABS(ENJSA_PLS!I12),"")</f>
        <v>0.85690631286603802</v>
      </c>
      <c r="F84" s="226">
        <f>IFERROR((ENJSA_PLS!I12-ENJSA_PLS!J12)/ABS(ENJSA_PLS!J12),"")</f>
        <v>0.57856139163832232</v>
      </c>
      <c r="G84" s="226">
        <f>IFERROR((ENJSA_PLS!J12-ENJSA_PLS!K12)/ABS(ENJSA_PLS!K12),"")</f>
        <v>-3.1635259145355102E-2</v>
      </c>
      <c r="H84" s="226" t="str">
        <f>IFERROR((ENJSA_PLS!K12-ENJSA_PLS!L12)/ABS(ENJSA_PLS!L12),"")</f>
        <v/>
      </c>
    </row>
    <row r="85" spans="1:8" ht="13.5" customHeight="1" x14ac:dyDescent="0.2">
      <c r="A85" s="187" t="s">
        <v>756</v>
      </c>
      <c r="B85" s="224">
        <f>IFERROR((ENJSA_PLS!B15-ENJSA_PLS!C15)/ABS(ENJSA_PLS!C15),"")</f>
        <v>6.1986869699134457E-3</v>
      </c>
      <c r="C85" s="224">
        <f>IFERROR((ENJSA_PLS!D15-ENJSA_PLS!E15)/ABS(ENJSA_PLS!E15),"")</f>
        <v>-0.67610586614382928</v>
      </c>
      <c r="D85" s="224">
        <f>IFERROR((ENJSA_PLS!F15-ENJSA_PLS!G15)/ABS(ENJSA_PLS!G15),"")</f>
        <v>-0.16972527772855142</v>
      </c>
      <c r="E85" s="224">
        <f>IFERROR((ENJSA_PLS!H15-ENJSA_PLS!I15)/ABS(ENJSA_PLS!I15),"")</f>
        <v>-1.846805856037611</v>
      </c>
      <c r="F85" s="224">
        <f>IFERROR((ENJSA_PLS!I15-ENJSA_PLS!J15)/ABS(ENJSA_PLS!J15),"")</f>
        <v>-6.5026669449983088E-2</v>
      </c>
      <c r="G85" s="224">
        <f>IFERROR((ENJSA_PLS!J15-ENJSA_PLS!K15)/ABS(ENJSA_PLS!K15),"")</f>
        <v>0.24640773928831225</v>
      </c>
      <c r="H85" s="224" t="str">
        <f>IFERROR((ENJSA_PLS!K15-ENJSA_PLS!L15)/ABS(ENJSA_PLS!L15),"")</f>
        <v/>
      </c>
    </row>
    <row r="86" spans="1:8" ht="13.5" customHeight="1" x14ac:dyDescent="0.2">
      <c r="A86" s="222" t="s">
        <v>736</v>
      </c>
      <c r="B86" s="225">
        <f>IFERROR((ENJSA_PLS!B21-ENJSA_PLS!C21)/ABS(ENJSA_PLS!C21),"")</f>
        <v>1.4992647087763435</v>
      </c>
      <c r="C86" s="225">
        <f>IFERROR((ENJSA_PLS!D21-ENJSA_PLS!E21)/ABS(ENJSA_PLS!E21),"")</f>
        <v>-1.7440567857394749</v>
      </c>
      <c r="D86" s="225">
        <f>IFERROR((ENJSA_PLS!F21-ENJSA_PLS!G21)/ABS(ENJSA_PLS!G21),"")</f>
        <v>-0.78107960625281081</v>
      </c>
      <c r="E86" s="225">
        <f>IFERROR((ENJSA_PLS!H21-ENJSA_PLS!I21)/ABS(ENJSA_PLS!I21),"")</f>
        <v>5.35221533074421</v>
      </c>
      <c r="F86" s="226">
        <f>IFERROR((ENJSA_PLS!I21-ENJSA_PLS!J21)/ABS(ENJSA_PLS!J21),"")</f>
        <v>1.0983760893569174</v>
      </c>
      <c r="G86" s="226">
        <f>IFERROR((ENJSA_PLS!J21-ENJSA_PLS!K21)/ABS(ENJSA_PLS!K21),"")</f>
        <v>5.2302485821702709E-2</v>
      </c>
      <c r="H86" s="226" t="str">
        <f>IFERROR((ENJSA_PLS!K21-ENJSA_PLS!L21)/ABS(ENJSA_PLS!L21),"")</f>
        <v/>
      </c>
    </row>
    <row r="87" spans="1:8" ht="13.5" customHeight="1" x14ac:dyDescent="0.2">
      <c r="A87" s="187"/>
      <c r="B87" s="224"/>
      <c r="C87" s="224"/>
      <c r="D87" s="224"/>
      <c r="E87" s="224"/>
      <c r="F87" s="224"/>
      <c r="G87" s="224"/>
      <c r="H87" s="224"/>
    </row>
    <row r="88" spans="1:8" ht="13.5" customHeight="1" x14ac:dyDescent="0.2">
      <c r="A88" s="220" t="s">
        <v>757</v>
      </c>
      <c r="B88" s="229"/>
      <c r="C88" s="229"/>
      <c r="D88" s="229"/>
      <c r="E88" s="229"/>
      <c r="F88" s="229"/>
      <c r="G88" s="229"/>
      <c r="H88" s="229"/>
    </row>
    <row r="89" spans="1:8" ht="13.5" customHeight="1" x14ac:dyDescent="0.2">
      <c r="A89" s="222" t="s">
        <v>758</v>
      </c>
      <c r="B89" s="226"/>
      <c r="C89" s="226"/>
      <c r="D89" s="226"/>
      <c r="E89" s="226"/>
      <c r="F89" s="226"/>
      <c r="G89" s="226"/>
      <c r="H89" s="226"/>
    </row>
    <row r="90" spans="1:8" ht="13.5" customHeight="1" x14ac:dyDescent="0.2">
      <c r="A90" s="222" t="s">
        <v>499</v>
      </c>
      <c r="B90" s="225">
        <f>IFERROR((ENJSA_CFS!B14-ENJSA_CFS!C14)/ABS(ENJSA_CFS!C14),"")</f>
        <v>0.25663780901525612</v>
      </c>
      <c r="C90" s="225">
        <f>IFERROR((ENJSA_CFS!D14-ENJSA_CFS!E14)/ABS(ENJSA_CFS!E14),"")</f>
        <v>1.6358497122301234</v>
      </c>
      <c r="D90" s="225">
        <f>IFERROR((ENJSA_CFS!F14-ENJSA_CFS!G14)/ABS(ENJSA_CFS!G14),"")</f>
        <v>-0.66625839579516599</v>
      </c>
      <c r="E90" s="225">
        <f>IFERROR((ENJSA_CFS!H14-ENJSA_CFS!I14)/ABS(ENJSA_CFS!I14),"")</f>
        <v>1.3264205508345555</v>
      </c>
      <c r="F90" s="226">
        <f>IFERROR((ENJSA_CFS!I14-ENJSA_CFS!J14)/ABS(ENJSA_CFS!J14),"")</f>
        <v>0.3066823996665996</v>
      </c>
      <c r="G90" s="226">
        <f>IFERROR((ENJSA_CFS!J14-ENJSA_CFS!K14)/ABS(ENJSA_CFS!K14),"")</f>
        <v>4.2640432699897146E-2</v>
      </c>
      <c r="H90" s="226" t="str">
        <f>IFERROR((ENJSA_CFS!K14-ENJSA_CFS!L14)/ABS(ENJSA_CFS!L14),"")</f>
        <v/>
      </c>
    </row>
    <row r="91" spans="1:8" ht="13.5" customHeight="1" x14ac:dyDescent="0.2">
      <c r="A91" s="222" t="s">
        <v>504</v>
      </c>
      <c r="B91" s="225">
        <f>IFERROR((ENJSA_CFS!B21-ENJSA_CFS!C21)/ABS(ENJSA_CFS!C21),"")</f>
        <v>-0.17771441566421384</v>
      </c>
      <c r="C91" s="225">
        <f>IFERROR((ENJSA_CFS!D21-ENJSA_CFS!E21)/ABS(ENJSA_CFS!E21),"")</f>
        <v>0.23310152334937592</v>
      </c>
      <c r="D91" s="225">
        <f>IFERROR((ENJSA_CFS!F21-ENJSA_CFS!G21)/ABS(ENJSA_CFS!G21),"")</f>
        <v>-0.28005347027318994</v>
      </c>
      <c r="E91" s="225">
        <f>IFERROR((ENJSA_CFS!H21-ENJSA_CFS!I21)/ABS(ENJSA_CFS!I21),"")</f>
        <v>-1.104104872704736</v>
      </c>
      <c r="F91" s="226">
        <f>IFERROR((ENJSA_CFS!I21-ENJSA_CFS!J21)/ABS(ENJSA_CFS!J21),"")</f>
        <v>-0.46599795850394427</v>
      </c>
      <c r="G91" s="226">
        <f>IFERROR((ENJSA_CFS!J21-ENJSA_CFS!K21)/ABS(ENJSA_CFS!K21),"")</f>
        <v>-0.48625642879968833</v>
      </c>
      <c r="H91" s="226" t="str">
        <f>IFERROR((ENJSA_CFS!K21-ENJSA_CFS!L21)/ABS(ENJSA_CFS!L21),"")</f>
        <v/>
      </c>
    </row>
    <row r="92" spans="1:8" ht="13.5" customHeight="1" x14ac:dyDescent="0.2">
      <c r="A92" s="222" t="s">
        <v>511</v>
      </c>
      <c r="B92" s="225">
        <f>IFERROR((ENJSA_CFS!B32-ENJSA_CFS!C32)/ABS(ENJSA_CFS!C32),"")</f>
        <v>-3.4866354034313756</v>
      </c>
      <c r="C92" s="225">
        <f>IFERROR((ENJSA_CFS!D32-ENJSA_CFS!E32)/ABS(ENJSA_CFS!E32),"")</f>
        <v>-1.5982184912564381</v>
      </c>
      <c r="D92" s="225">
        <f>IFERROR((ENJSA_CFS!F32-ENJSA_CFS!G32)/ABS(ENJSA_CFS!G32),"")</f>
        <v>-0.17783751785456642</v>
      </c>
      <c r="E92" s="225">
        <f>IFERROR((ENJSA_CFS!H32-ENJSA_CFS!I32)/ABS(ENJSA_CFS!I32),"")</f>
        <v>2.5580822458684587</v>
      </c>
      <c r="F92" s="226">
        <f>IFERROR((ENJSA_CFS!I32-ENJSA_CFS!J32)/ABS(ENJSA_CFS!J32),"")</f>
        <v>-0.29150616396015899</v>
      </c>
      <c r="G92" s="226">
        <f>IFERROR((ENJSA_CFS!J32-ENJSA_CFS!K32)/ABS(ENJSA_CFS!K32),"")</f>
        <v>0.33911416565580166</v>
      </c>
      <c r="H92" s="226" t="str">
        <f>IFERROR((ENJSA_CFS!K32-ENJSA_CFS!L32)/ABS(ENJSA_CFS!L32),"")</f>
        <v/>
      </c>
    </row>
    <row r="93" spans="1:8" ht="13.5" customHeight="1" x14ac:dyDescent="0.2">
      <c r="A93" s="187"/>
      <c r="B93" s="224"/>
      <c r="C93" s="224"/>
      <c r="D93" s="224"/>
      <c r="E93" s="224"/>
      <c r="F93" s="224"/>
      <c r="G93" s="224"/>
      <c r="H93" s="224"/>
    </row>
    <row r="94" spans="1:8" ht="13.5" customHeight="1" x14ac:dyDescent="0.2">
      <c r="A94" s="220" t="s">
        <v>759</v>
      </c>
      <c r="B94" s="229"/>
      <c r="C94" s="229"/>
      <c r="D94" s="229"/>
      <c r="E94" s="229"/>
      <c r="F94" s="229"/>
      <c r="G94" s="229"/>
      <c r="H94" s="229"/>
    </row>
    <row r="95" spans="1:8" ht="13.5" customHeight="1" x14ac:dyDescent="0.2">
      <c r="A95" s="187" t="s">
        <v>760</v>
      </c>
      <c r="B95" s="224"/>
      <c r="C95" s="224"/>
      <c r="D95" s="224"/>
      <c r="E95" s="224"/>
      <c r="F95" s="224"/>
      <c r="G95" s="224"/>
      <c r="H95" s="224"/>
    </row>
    <row r="96" spans="1:8" ht="13.5" customHeight="1" x14ac:dyDescent="0.2">
      <c r="A96" s="221" t="s">
        <v>761</v>
      </c>
      <c r="B96" s="233" t="s">
        <v>738</v>
      </c>
      <c r="C96" s="233" t="s">
        <v>762</v>
      </c>
      <c r="D96" s="233" t="s">
        <v>763</v>
      </c>
      <c r="E96" s="233" t="s">
        <v>741</v>
      </c>
      <c r="F96" s="233" t="s">
        <v>742</v>
      </c>
      <c r="G96" s="233" t="s">
        <v>743</v>
      </c>
      <c r="H96" s="233" t="s">
        <v>744</v>
      </c>
    </row>
    <row r="97" spans="1:9" ht="13.5" customHeight="1" x14ac:dyDescent="0.2">
      <c r="A97" s="187" t="s">
        <v>518</v>
      </c>
      <c r="B97" s="224">
        <f>IFERROR(ENJSA_Ratios!D5-ENJSA_Ratios!E5,"")</f>
        <v>2.903984662126935E-2</v>
      </c>
      <c r="C97" s="224">
        <f>IFERROR(ENJSA_Ratios!E5-ENJSA_Ratios!F5,"")</f>
        <v>-8.7117168071451201E-2</v>
      </c>
      <c r="D97" s="224">
        <f>IFERROR(ENJSA_Ratios!F5-ENJSA_Ratios!G5,"")</f>
        <v>0.13310257835301331</v>
      </c>
      <c r="E97" s="224">
        <f>IFERROR(ENJSA_Ratios!G5-ENJSA_Ratios!H5,"")</f>
        <v>-0.17232422552284243</v>
      </c>
      <c r="F97" s="224">
        <f>IFERROR(ENJSA_Ratios!H5-ENJSA_Ratios!I5,"")</f>
        <v>7.5111133361369542E-2</v>
      </c>
      <c r="G97" s="224">
        <f>IFERROR(ENJSA_Ratios!I5-ENJSA_Ratios!J5,"")</f>
        <v>2.2987958056452262E-2</v>
      </c>
      <c r="H97" s="224" t="str">
        <f>IFERROR(ENJSA_Ratios!J5-ENJSA_Ratios!K5,"")</f>
        <v/>
      </c>
    </row>
    <row r="98" spans="1:9" ht="13.5" customHeight="1" x14ac:dyDescent="0.2">
      <c r="A98" s="187" t="s">
        <v>528</v>
      </c>
      <c r="B98" s="224">
        <f>IFERROR(ENJSA_Ratios!D9-ENJSA_Ratios!E9,"")</f>
        <v>1.2834973332120803E-2</v>
      </c>
      <c r="C98" s="224">
        <f>IFERROR(ENJSA_Ratios!E9-ENJSA_Ratios!F9,"")</f>
        <v>2.3131310332094701E-2</v>
      </c>
      <c r="D98" s="224">
        <f>IFERROR(ENJSA_Ratios!F9-ENJSA_Ratios!G9,"")</f>
        <v>2.9084169387346148E-2</v>
      </c>
      <c r="E98" s="224">
        <f>IFERROR(ENJSA_Ratios!G9-ENJSA_Ratios!H9,"")</f>
        <v>-0.17065794604491435</v>
      </c>
      <c r="F98" s="224">
        <f>IFERROR(ENJSA_Ratios!H9-ENJSA_Ratios!I9,"")</f>
        <v>-7.4730851138117282E-3</v>
      </c>
      <c r="G98" s="224">
        <f>IFERROR(ENJSA_Ratios!I9-ENJSA_Ratios!J9,"")</f>
        <v>8.64261125332485E-2</v>
      </c>
      <c r="H98" s="224" t="str">
        <f>IFERROR(ENJSA_Ratios!J9-ENJSA_Ratios!K9,"")</f>
        <v/>
      </c>
    </row>
    <row r="99" spans="1:9" ht="13.5" customHeight="1" x14ac:dyDescent="0.2">
      <c r="A99" s="227" t="s">
        <v>764</v>
      </c>
      <c r="B99" s="228">
        <f>IFERROR(ENJSA_Ratios!D12-ENJSA_Ratios!E12,"")</f>
        <v>2.5898649628894432E-2</v>
      </c>
      <c r="C99" s="228">
        <f>IFERROR(ENJSA_Ratios!E12-ENJSA_Ratios!F12,"")</f>
        <v>-0.17333554154985409</v>
      </c>
      <c r="D99" s="228">
        <f>IFERROR(ENJSA_Ratios!F12-ENJSA_Ratios!G12,"")</f>
        <v>-0.21122526478540449</v>
      </c>
      <c r="E99" s="228">
        <f>IFERROR(ENJSA_Ratios!G12-ENJSA_Ratios!H12,"")</f>
        <v>-0.14924119847901118</v>
      </c>
      <c r="F99" s="228">
        <f>IFERROR(ENJSA_Ratios!H12-ENJSA_Ratios!I12,"")</f>
        <v>-0.75532897994327808</v>
      </c>
      <c r="G99" s="228">
        <f>IFERROR(ENJSA_Ratios!I12-ENJSA_Ratios!J12,"")</f>
        <v>0.25591955157801793</v>
      </c>
      <c r="H99" s="228" t="str">
        <f>IFERROR(ENJSA_Ratios!J12-ENJSA_Ratios!K12,"")</f>
        <v/>
      </c>
    </row>
    <row r="100" spans="1:9" ht="13.5" customHeight="1" x14ac:dyDescent="0.2">
      <c r="A100" s="227" t="s">
        <v>542</v>
      </c>
      <c r="B100" s="228">
        <f>IFERROR(ENJSA_Ratios!D22-ENJSA_Ratios!E22,"")</f>
        <v>3.114546686844108E-2</v>
      </c>
      <c r="C100" s="228">
        <f>IFERROR(ENJSA_Ratios!E22-ENJSA_Ratios!F22,"")</f>
        <v>7.2664704516786888E-2</v>
      </c>
      <c r="D100" s="228">
        <f>IFERROR(ENJSA_Ratios!F22-ENJSA_Ratios!G22,"")</f>
        <v>-3.5918215233901235E-2</v>
      </c>
      <c r="E100" s="228">
        <f>IFERROR(ENJSA_Ratios!G22-ENJSA_Ratios!H22,"")</f>
        <v>-8.3682674358546344E-2</v>
      </c>
      <c r="F100" s="228">
        <f>IFERROR(ENJSA_Ratios!H22-ENJSA_Ratios!I22,"")</f>
        <v>1.1915846966940147E-2</v>
      </c>
      <c r="G100" s="228">
        <f>IFERROR(ENJSA_Ratios!I22-ENJSA_Ratios!J22,"")</f>
        <v>-1.5540790733411247E-2</v>
      </c>
      <c r="H100" s="228" t="str">
        <f>IFERROR(ENJSA_Ratios!J22-ENJSA_Ratios!K22,"")</f>
        <v/>
      </c>
    </row>
    <row r="101" spans="1:9" ht="13.5" customHeight="1" x14ac:dyDescent="0.2">
      <c r="A101" s="227" t="s">
        <v>544</v>
      </c>
      <c r="B101" s="228">
        <f>IFERROR(ENJSA_Ratios!D23-ENJSA_Ratios!E23,"")</f>
        <v>2.3543058776691356E-2</v>
      </c>
      <c r="C101" s="228">
        <f>IFERROR(ENJSA_Ratios!E23-ENJSA_Ratios!F23,"")</f>
        <v>5.766250673848182E-2</v>
      </c>
      <c r="D101" s="228">
        <f>IFERROR(ENJSA_Ratios!F23-ENJSA_Ratios!G23,"")</f>
        <v>-1.1579652043395242E-2</v>
      </c>
      <c r="E101" s="228">
        <f>IFERROR(ENJSA_Ratios!G23-ENJSA_Ratios!H23,"")</f>
        <v>-6.0427241611063665E-2</v>
      </c>
      <c r="F101" s="228">
        <f>IFERROR(ENJSA_Ratios!H23-ENJSA_Ratios!I23,"")</f>
        <v>2.035073089121317E-2</v>
      </c>
      <c r="G101" s="228">
        <f>IFERROR(ENJSA_Ratios!I23-ENJSA_Ratios!J23,"")</f>
        <v>-2.537208519273243E-2</v>
      </c>
      <c r="H101" s="228" t="str">
        <f>IFERROR(ENJSA_Ratios!J23-ENJSA_Ratios!K23,"")</f>
        <v/>
      </c>
    </row>
    <row r="102" spans="1:9" ht="13.5" customHeight="1" x14ac:dyDescent="0.2">
      <c r="A102" s="187" t="s">
        <v>548</v>
      </c>
      <c r="B102" s="224">
        <f>IFERROR(ENJSA_Ratios!D25-ENJSA_Ratios!E25,"")</f>
        <v>3.9069449023532939E-2</v>
      </c>
      <c r="C102" s="224">
        <f>IFERROR(ENJSA_Ratios!E25-ENJSA_Ratios!F25,"")</f>
        <v>-5.2245481979978581E-2</v>
      </c>
      <c r="D102" s="224">
        <f>IFERROR(ENJSA_Ratios!F25-ENJSA_Ratios!G25,"")</f>
        <v>-0.14489573159295605</v>
      </c>
      <c r="E102" s="224">
        <f>IFERROR(ENJSA_Ratios!G25-ENJSA_Ratios!H25,"")</f>
        <v>9.6963683797566175E-2</v>
      </c>
      <c r="F102" s="224">
        <f>IFERROR(ENJSA_Ratios!H25-ENJSA_Ratios!I25,"")</f>
        <v>2.4723077120801178E-2</v>
      </c>
      <c r="G102" s="224">
        <f>IFERROR(ENJSA_Ratios!I25-ENJSA_Ratios!J25,"")</f>
        <v>-3.1422337160963848E-3</v>
      </c>
      <c r="H102" s="224" t="str">
        <f>IFERROR(ENJSA_Ratios!J25-ENJSA_Ratios!K25,"")</f>
        <v/>
      </c>
    </row>
    <row r="103" spans="1:9" ht="13.5" customHeight="1" x14ac:dyDescent="0.2">
      <c r="A103" s="187" t="s">
        <v>553</v>
      </c>
      <c r="B103" s="224">
        <f>IFERROR(ENJSA_Ratios!D27-ENJSA_Ratios!E27,"")</f>
        <v>9.8290568290934549E-2</v>
      </c>
      <c r="C103" s="224">
        <f>IFERROR(ENJSA_Ratios!E27-ENJSA_Ratios!F27,"")</f>
        <v>-0.14337188144070187</v>
      </c>
      <c r="D103" s="224">
        <f>IFERROR(ENJSA_Ratios!F27-ENJSA_Ratios!G27,"")</f>
        <v>-0.16829161069770018</v>
      </c>
      <c r="E103" s="224">
        <f>IFERROR(ENJSA_Ratios!G27-ENJSA_Ratios!H27,"")</f>
        <v>1.1825507594227791E-3</v>
      </c>
      <c r="F103" s="224">
        <f>IFERROR(ENJSA_Ratios!H27-ENJSA_Ratios!I27,"")</f>
        <v>9.2470302322001985E-2</v>
      </c>
      <c r="G103" s="224">
        <f>IFERROR(ENJSA_Ratios!I27-ENJSA_Ratios!J27,"")</f>
        <v>3.5420140657687657E-2</v>
      </c>
      <c r="H103" s="224" t="str">
        <f>IFERROR(ENJSA_Ratios!J27-ENJSA_Ratios!K27,"")</f>
        <v/>
      </c>
    </row>
    <row r="104" spans="1:9" ht="13.5" customHeight="1" x14ac:dyDescent="0.2">
      <c r="A104" s="187" t="s">
        <v>551</v>
      </c>
      <c r="B104" s="224">
        <f>IFERROR(ENJSA_Ratios!D26-ENJSA_Ratios!E26,"")</f>
        <v>4.0288353047922359E-2</v>
      </c>
      <c r="C104" s="224">
        <f>IFERROR(ENJSA_Ratios!E26-ENJSA_Ratios!F26,"")</f>
        <v>-6.1195463245977383E-2</v>
      </c>
      <c r="D104" s="224">
        <f>IFERROR(ENJSA_Ratios!F26-ENJSA_Ratios!G26,"")</f>
        <v>-8.0770487880312922E-2</v>
      </c>
      <c r="E104" s="224">
        <f>IFERROR(ENJSA_Ratios!G26-ENJSA_Ratios!H26,"")</f>
        <v>4.2414729868276338E-2</v>
      </c>
      <c r="F104" s="224">
        <f>IFERROR(ENJSA_Ratios!H26-ENJSA_Ratios!I26,"")</f>
        <v>2.8492265051160877E-2</v>
      </c>
      <c r="G104" s="224">
        <f>IFERROR(ENJSA_Ratios!I26-ENJSA_Ratios!J26,"")</f>
        <v>6.3950876289631253E-5</v>
      </c>
      <c r="H104" s="224" t="str">
        <f>IFERROR(ENJSA_Ratios!J26-ENJSA_Ratios!K26,"")</f>
        <v/>
      </c>
    </row>
    <row r="105" spans="1:9" ht="13.5" customHeight="1" x14ac:dyDescent="0.2">
      <c r="A105" s="187" t="s">
        <v>539</v>
      </c>
      <c r="B105" s="224">
        <f>IFERROR(ENJSA_Ratios!D14-ENJSA_Ratios!E14,"")</f>
        <v>6.4807344679239209E-2</v>
      </c>
      <c r="C105" s="224">
        <f>IFERROR(ENJSA_Ratios!E14-ENJSA_Ratios!F14,"")</f>
        <v>-0.36579431507365379</v>
      </c>
      <c r="D105" s="224">
        <f>IFERROR(ENJSA_Ratios!F14-ENJSA_Ratios!G14,"")</f>
        <v>-0.42124812095938413</v>
      </c>
      <c r="E105" s="224">
        <f>IFERROR(ENJSA_Ratios!G14-ENJSA_Ratios!H14,"")</f>
        <v>-1.0693528780388351</v>
      </c>
      <c r="F105" s="224">
        <f>IFERROR(ENJSA_Ratios!H14-ENJSA_Ratios!I14,"")</f>
        <v>1.080527653144272</v>
      </c>
      <c r="G105" s="224">
        <f>IFERROR(ENJSA_Ratios!I14-ENJSA_Ratios!J14,"")</f>
        <v>0.30857602641296422</v>
      </c>
      <c r="H105" s="224" t="str">
        <f>IFERROR(ENJSA_Ratios!J14-ENJSA_Ratios!K14,"")</f>
        <v/>
      </c>
    </row>
    <row r="106" spans="1:9" ht="13.5" customHeight="1" x14ac:dyDescent="0.2">
      <c r="B106" s="234"/>
      <c r="C106" s="234"/>
      <c r="D106" s="234"/>
      <c r="E106" s="234"/>
      <c r="F106" s="234"/>
      <c r="G106" s="234"/>
      <c r="H106" s="234"/>
      <c r="I106" s="234"/>
    </row>
    <row r="107" spans="1:9" ht="15" customHeight="1" x14ac:dyDescent="0.2">
      <c r="B107" s="234"/>
      <c r="C107" s="234"/>
      <c r="D107" s="234"/>
      <c r="E107" s="234"/>
      <c r="F107" s="234"/>
      <c r="G107" s="234"/>
      <c r="H107" s="234"/>
      <c r="I107" s="234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0" sqref="K10"/>
    </sheetView>
  </sheetViews>
  <sheetFormatPr baseColWidth="10" defaultColWidth="8.6640625" defaultRowHeight="15" x14ac:dyDescent="0.2"/>
  <cols>
    <col min="1" max="1" width="68" customWidth="1"/>
    <col min="2" max="6" width="16" customWidth="1"/>
    <col min="7" max="9" width="15" customWidth="1"/>
  </cols>
  <sheetData>
    <row r="1" spans="1:9" ht="21.75" customHeight="1" x14ac:dyDescent="0.2">
      <c r="A1" s="254" t="s">
        <v>765</v>
      </c>
      <c r="B1" s="254"/>
      <c r="C1" s="254"/>
      <c r="D1" s="254"/>
      <c r="E1" s="254"/>
      <c r="F1" s="254"/>
      <c r="G1" s="254"/>
      <c r="H1" s="254"/>
      <c r="I1" s="254"/>
    </row>
    <row r="2" spans="1:9" ht="15" customHeight="1" x14ac:dyDescent="0.2">
      <c r="A2" s="2" t="s">
        <v>766</v>
      </c>
      <c r="B2" s="2" t="s">
        <v>767</v>
      </c>
      <c r="C2" s="2" t="s">
        <v>768</v>
      </c>
      <c r="D2" s="2" t="s">
        <v>769</v>
      </c>
      <c r="E2" s="2" t="s">
        <v>770</v>
      </c>
      <c r="F2" s="2" t="s">
        <v>771</v>
      </c>
      <c r="G2" s="2" t="s">
        <v>772</v>
      </c>
      <c r="H2" s="2" t="s">
        <v>773</v>
      </c>
      <c r="I2" s="2" t="s">
        <v>774</v>
      </c>
    </row>
    <row r="3" spans="1:9" ht="15" customHeight="1" x14ac:dyDescent="0.2">
      <c r="A3" s="235" t="s">
        <v>775</v>
      </c>
      <c r="B3" s="235"/>
      <c r="C3" s="235"/>
      <c r="D3" s="235"/>
      <c r="E3" s="235"/>
      <c r="F3" s="235"/>
    </row>
    <row r="4" spans="1:9" ht="15" customHeight="1" x14ac:dyDescent="0.2">
      <c r="A4" s="8" t="s">
        <v>159</v>
      </c>
      <c r="B4" s="236">
        <f>IFERROR(AVERAGEIF(C4:I4,"&gt;="&amp;(-1000000000000000)),"-")</f>
        <v>1.3264505485665834</v>
      </c>
      <c r="C4" s="18">
        <f>IFERROR(AVERAGEIF(ASTOR_Ratios!D4:I4,"&gt;="&amp;(-1000000000000000)),"-")</f>
        <v>1.8098776648378294</v>
      </c>
      <c r="D4" s="18">
        <f>IFERROR(AVERAGEIF(AKSEN_Ratios!D4:I4,"&gt;="&amp;(-1000000000000000)),"-")</f>
        <v>1.050546384595241</v>
      </c>
      <c r="E4" s="18">
        <f>IFERROR(AVERAGEIF(ENJSA_Ratios!D5:I5,"&gt;="&amp;(-1000000000000000)),"-")</f>
        <v>0.80172688458819674</v>
      </c>
      <c r="F4" s="18">
        <f>IFERROR(AVERAGEIF(GWIND_Ratios!D4:I4,"&gt;="&amp;(-1000000000000000)),"-")</f>
        <v>2.6158038552316807</v>
      </c>
      <c r="G4" s="237">
        <f>IFERROR(AVERAGEIF(AYDEM_Ratios!D4:I4,"&gt;="&amp;(-1000000000000000)),"-")</f>
        <v>1.4595705795939302</v>
      </c>
      <c r="H4" s="237">
        <f>IFERROR(AVERAGEIF(ZOREN_Ratios!D4:I4,"&gt;="&amp;(-1000000000000000)),"-")</f>
        <v>0.6724328776061993</v>
      </c>
      <c r="I4" s="237">
        <f>IFERROR(AVERAGEIF(AYEN_Ratios!D4:I4,"&gt;="&amp;(-1000000000000000)),"-")</f>
        <v>0.87519559351300547</v>
      </c>
    </row>
    <row r="5" spans="1:9" ht="15" customHeight="1" x14ac:dyDescent="0.2">
      <c r="A5" s="8" t="s">
        <v>776</v>
      </c>
      <c r="B5" s="236">
        <f>IFERROR(AVERAGEIF(C5:I5,"&gt;="&amp;(-1000000000000000)),"-")</f>
        <v>1.1631239752397347</v>
      </c>
      <c r="C5" s="18">
        <f>IFERROR(AVERAGEIF(ASTOR_Ratios!D5:I5,"&gt;="&amp;(-1000000000000000)),"-")</f>
        <v>1.4529293806886747</v>
      </c>
      <c r="D5" s="18">
        <f>IFERROR(AVERAGEIF(AKSEN_Ratios!D5:I5,"&gt;="&amp;(-1000000000000000)),"-")</f>
        <v>0.99691096331843265</v>
      </c>
      <c r="E5" s="18">
        <f>IFERROR(AVERAGEIF(ENJSA_Ratios!D6:I6,"&gt;="&amp;(-1000000000000000)),"-")</f>
        <v>0.75291456132363122</v>
      </c>
      <c r="F5" s="18">
        <f>IFERROR(AVERAGEIF(GWIND_Ratios!D5:I5,"&gt;="&amp;(-1000000000000000)),"-")</f>
        <v>2.6087416073260017</v>
      </c>
      <c r="G5" s="237">
        <f>IFERROR(AVERAGEIF(AYDEM_Ratios!D5:I5,"&gt;="&amp;(-1000000000000000)),"-")</f>
        <v>1.3298583611498878</v>
      </c>
      <c r="H5" s="237">
        <f>IFERROR(AVERAGEIF(ZOREN_Ratios!D5:I5,"&gt;="&amp;(-1000000000000000)),"-")</f>
        <v>0.41739248243387289</v>
      </c>
      <c r="I5" s="237">
        <f>IFERROR(AVERAGEIF(AYEN_Ratios!D5:I5,"&gt;="&amp;(-1000000000000000)),"-")</f>
        <v>0.58312047043764248</v>
      </c>
    </row>
    <row r="6" spans="1:9" ht="15" customHeight="1" x14ac:dyDescent="0.2">
      <c r="A6" s="8" t="s">
        <v>165</v>
      </c>
      <c r="B6" s="236">
        <f>IFERROR(AVERAGEIF(C6:I6,"&gt;="&amp;(-1000000000000000)),"-")</f>
        <v>0.57735585656814015</v>
      </c>
      <c r="C6" s="18">
        <f>IFERROR(AVERAGEIF(ASTOR_Ratios!D6:I6,"&gt;="&amp;(-1000000000000000)),"-")</f>
        <v>0.44254857891837501</v>
      </c>
      <c r="D6" s="18">
        <f>IFERROR(AVERAGEIF(AKSEN_Ratios!D6:I6,"&gt;="&amp;(-1000000000000000)),"-")</f>
        <v>0.10853145916597974</v>
      </c>
      <c r="E6" s="18">
        <f>IFERROR(AVERAGEIF(ENJSA_Ratios!D7:I7,"&gt;="&amp;(-1000000000000000)),"-")</f>
        <v>0.27541738076669942</v>
      </c>
      <c r="F6" s="18">
        <f>IFERROR(AVERAGEIF(GWIND_Ratios!D6:I6,"&gt;="&amp;(-1000000000000000)),"-")</f>
        <v>1.955097473004896</v>
      </c>
      <c r="G6" s="237">
        <f>IFERROR(AVERAGEIF(AYDEM_Ratios!D6:I6,"&gt;="&amp;(-1000000000000000)),"-")</f>
        <v>0.81426596475992996</v>
      </c>
      <c r="H6" s="237">
        <f>IFERROR(AVERAGEIF(ZOREN_Ratios!D6:I6,"&gt;="&amp;(-1000000000000000)),"-")</f>
        <v>0.13998824225647732</v>
      </c>
      <c r="I6" s="237">
        <f>IFERROR(AVERAGEIF(AYEN_Ratios!D6:I6,"&gt;="&amp;(-1000000000000000)),"-")</f>
        <v>0.30564189710462358</v>
      </c>
    </row>
    <row r="7" spans="1:9" ht="15" customHeight="1" x14ac:dyDescent="0.2">
      <c r="A7" s="235" t="s">
        <v>777</v>
      </c>
      <c r="B7" s="235"/>
      <c r="C7" s="235"/>
      <c r="D7" s="235"/>
      <c r="E7" s="235"/>
      <c r="F7" s="235"/>
    </row>
    <row r="8" spans="1:9" ht="15" customHeight="1" x14ac:dyDescent="0.2">
      <c r="A8" s="8" t="s">
        <v>778</v>
      </c>
      <c r="B8" s="236">
        <f t="shared" ref="B8:B13" si="0">IFERROR(AVERAGEIF(C8:I8,"&gt;="&amp;(-1000000000000000)),"-")</f>
        <v>0.51705318203393169</v>
      </c>
      <c r="C8" s="18">
        <f>IFERROR(AVERAGEIF(ASTOR_Ratios!D22:I22,"&gt;="&amp;(-1000000000000000)),"-")</f>
        <v>0.91196582407989801</v>
      </c>
      <c r="D8" s="18">
        <f>IFERROR(AVERAGEIF(AKSEN_Ratios!D21:I21,"&gt;="&amp;(-1000000000000000)),"-")</f>
        <v>0.69104753654221407</v>
      </c>
      <c r="E8" s="18">
        <f>IFERROR(AVERAGEIF(ENJSA_Ratios!D16:I16,"&gt;="&amp;(-1000000000000000)),"-")</f>
        <v>0.97268088124176355</v>
      </c>
      <c r="F8" s="18">
        <f>IFERROR(AVERAGEIF(GWIND_Ratios!D23:I23,"&gt;="&amp;(-1000000000000000)),"-")</f>
        <v>0.25016745593242551</v>
      </c>
      <c r="G8" s="237">
        <f>IFERROR(AVERAGEIF(AYDEM_Ratios!D23:I23,"&gt;="&amp;(-1000000000000000)),"-")</f>
        <v>0.11494741868482783</v>
      </c>
      <c r="H8" s="237">
        <f>IFERROR(AVERAGEIF(ZOREN_Ratios!D23:I23,"&gt;="&amp;(-1000000000000000)),"-")</f>
        <v>0.329803225612741</v>
      </c>
      <c r="I8" s="237">
        <f>IFERROR(AVERAGEIF(AYEN_Ratios!D23:I23,"&gt;="&amp;(-1000000000000000)),"-")</f>
        <v>0.34875993214365231</v>
      </c>
    </row>
    <row r="9" spans="1:9" ht="15" customHeight="1" x14ac:dyDescent="0.2">
      <c r="A9" s="8" t="s">
        <v>779</v>
      </c>
      <c r="B9" s="236">
        <f t="shared" si="0"/>
        <v>7.1829379225389287</v>
      </c>
      <c r="C9" s="18">
        <f>IFERROR(AVERAGEIF(ASTOR_Ratios!D23:I23,"&gt;="&amp;(-1000000000000000)),"-")</f>
        <v>3.072813507174406</v>
      </c>
      <c r="D9" s="18">
        <f>IFERROR(AVERAGEIF(AKSEN_Ratios!D22:I22,"&gt;="&amp;(-1000000000000000)),"-")</f>
        <v>3.5903856692325697</v>
      </c>
      <c r="E9" s="18">
        <f>IFERROR(AVERAGEIF(ENJSA_Ratios!D17:I17,"&gt;="&amp;(-1000000000000000)),"-")</f>
        <v>8.1474601894060381</v>
      </c>
      <c r="F9" s="18">
        <f>IFERROR(AVERAGEIF(GWIND_Ratios!D24:I24,"&gt;="&amp;(-1000000000000000)),"-")</f>
        <v>10.779067076418551</v>
      </c>
      <c r="G9" s="237">
        <f>IFERROR(AVERAGEIF(AYDEM_Ratios!D24:I24,"&gt;="&amp;(-1000000000000000)),"-")</f>
        <v>8.057282473528355</v>
      </c>
      <c r="H9" s="237">
        <f>IFERROR(AVERAGEIF(ZOREN_Ratios!D24:I24,"&gt;="&amp;(-1000000000000000)),"-")</f>
        <v>4.6205307066577381</v>
      </c>
      <c r="I9" s="237">
        <f>IFERROR(AVERAGEIF(AYEN_Ratios!D24:I24,"&gt;="&amp;(-1000000000000000)),"-")</f>
        <v>12.013025835354846</v>
      </c>
    </row>
    <row r="10" spans="1:9" ht="15" customHeight="1" x14ac:dyDescent="0.2">
      <c r="A10" s="8" t="s">
        <v>216</v>
      </c>
      <c r="B10" s="238">
        <f t="shared" si="0"/>
        <v>74.390236319050331</v>
      </c>
      <c r="C10" s="19">
        <f>IFERROR(AVERAGEIF(ASTOR_Ratios!D24:I24,"&gt;="&amp;(-1000000000000000)),"-")</f>
        <v>122.53236453585309</v>
      </c>
      <c r="D10" s="19">
        <f>IFERROR(AVERAGEIF(AKSEN_Ratios!D23:I23,"&gt;="&amp;(-1000000000000000)),"-")</f>
        <v>111.95365976114044</v>
      </c>
      <c r="E10" s="19">
        <f>IFERROR(AVERAGEIF(ENJSA_Ratios!D18:I18,"&gt;="&amp;(-1000000000000000)),"-")</f>
        <v>47.124631784759053</v>
      </c>
      <c r="F10" s="19">
        <f>IFERROR(AVERAGEIF(GWIND_Ratios!D25:I25,"&gt;="&amp;(-1000000000000000)),"-")</f>
        <v>36.19444716949905</v>
      </c>
      <c r="G10" s="239">
        <f>IFERROR(AVERAGEIF(AYDEM_Ratios!D25:I25,"&gt;="&amp;(-1000000000000000)),"-")</f>
        <v>87.185378382258648</v>
      </c>
      <c r="H10" s="239">
        <f>IFERROR(AVERAGEIF(ZOREN_Ratios!D25:I25,"&gt;="&amp;(-1000000000000000)),"-")</f>
        <v>80.343621041753835</v>
      </c>
      <c r="I10" s="239">
        <f>IFERROR(AVERAGEIF(AYEN_Ratios!D25:I25,"&gt;="&amp;(-1000000000000000)),"-")</f>
        <v>35.397551558088161</v>
      </c>
    </row>
    <row r="11" spans="1:9" ht="15" customHeight="1" x14ac:dyDescent="0.2">
      <c r="A11" s="8" t="s">
        <v>219</v>
      </c>
      <c r="B11" s="236">
        <f t="shared" si="0"/>
        <v>82.148206755507502</v>
      </c>
      <c r="C11" s="18">
        <f>IFERROR(AVERAGEIF(ASTOR_Ratios!D25:I25,"&gt;="&amp;(-1000000000000000)),"-")</f>
        <v>4.4983471480476283</v>
      </c>
      <c r="D11" s="18" t="str">
        <f>"-"</f>
        <v>-</v>
      </c>
      <c r="E11" s="18">
        <f>IFERROR(AVERAGEIF(ENJSA_Ratios!D20:I20,"&gt;="&amp;(-1000000000000000)),"-")</f>
        <v>48.412879138370592</v>
      </c>
      <c r="F11" s="18">
        <f>IFERROR(AVERAGEIF(GWIND_Ratios!D26:I26,"&gt;="&amp;(-1000000000000000)),"-")</f>
        <v>193.53339398010431</v>
      </c>
      <c r="G11" s="237" t="str">
        <f t="shared" ref="G11:I12" si="1">"-"</f>
        <v>-</v>
      </c>
      <c r="H11" s="237" t="str">
        <f t="shared" si="1"/>
        <v>-</v>
      </c>
      <c r="I11" s="237" t="str">
        <f t="shared" si="1"/>
        <v>-</v>
      </c>
    </row>
    <row r="12" spans="1:9" ht="15" customHeight="1" x14ac:dyDescent="0.2">
      <c r="A12" s="8" t="s">
        <v>780</v>
      </c>
      <c r="B12" s="238">
        <f t="shared" si="0"/>
        <v>46.547413047536558</v>
      </c>
      <c r="C12" s="19">
        <f>IFERROR(AVERAGEIF(ASTOR_Ratios!D26:I26,"&gt;="&amp;(-1000000000000000)),"-")</f>
        <v>90.421200733510474</v>
      </c>
      <c r="D12" s="19" t="str">
        <f>"-"</f>
        <v>-</v>
      </c>
      <c r="E12" s="19" t="str">
        <f>"-"</f>
        <v>-</v>
      </c>
      <c r="F12" s="19">
        <f>IFERROR(AVERAGEIF(GWIND_Ratios!D27:I27,"&gt;="&amp;(-1000000000000000)),"-")</f>
        <v>2.673625361562646</v>
      </c>
      <c r="G12" s="239" t="str">
        <f t="shared" si="1"/>
        <v>-</v>
      </c>
      <c r="H12" s="239" t="str">
        <f t="shared" si="1"/>
        <v>-</v>
      </c>
      <c r="I12" s="239" t="str">
        <f t="shared" si="1"/>
        <v>-</v>
      </c>
    </row>
    <row r="13" spans="1:9" ht="15" customHeight="1" x14ac:dyDescent="0.2">
      <c r="A13" s="8" t="s">
        <v>781</v>
      </c>
      <c r="B13" s="236">
        <f t="shared" si="0"/>
        <v>18.845183076711244</v>
      </c>
      <c r="C13" s="18">
        <f>IFERROR(AVERAGEIF(ASTOR_Ratios!D27:I27,"&gt;="&amp;(-1000000000000000)),"-")</f>
        <v>9.4634156570151315</v>
      </c>
      <c r="D13" s="18" t="str">
        <f>"-"</f>
        <v>-</v>
      </c>
      <c r="E13" s="18">
        <f>IFERROR(AVERAGEIF(ENJSA_Ratios!D19:I19,"&gt;="&amp;(-1000000000000000)),"-")</f>
        <v>9.1405411697107741</v>
      </c>
      <c r="F13" s="18">
        <f>IFERROR(AVERAGEIF(GWIND_Ratios!D28:I28,"&gt;="&amp;(-1000000000000000)),"-")</f>
        <v>44.6768367237975</v>
      </c>
      <c r="G13" s="237">
        <f>IFERROR(AVERAGEIF(AYDEM_Ratios!D26:I26,"&gt;="&amp;(-1000000000000000)),"-")</f>
        <v>23.59544305846536</v>
      </c>
      <c r="H13" s="237">
        <f>IFERROR(AVERAGEIF(ZOREN_Ratios!D26:I26,"&gt;="&amp;(-1000000000000000)),"-")</f>
        <v>5.5424862974676339</v>
      </c>
      <c r="I13" s="237">
        <f>IFERROR(AVERAGEIF(AYEN_Ratios!D26:I26,"&gt;="&amp;(-1000000000000000)),"-")</f>
        <v>20.652375553811069</v>
      </c>
    </row>
    <row r="14" spans="1:9" ht="15" customHeight="1" x14ac:dyDescent="0.2">
      <c r="A14" s="235" t="s">
        <v>782</v>
      </c>
      <c r="B14" s="235"/>
      <c r="C14" s="235"/>
      <c r="D14" s="235"/>
      <c r="E14" s="235"/>
      <c r="F14" s="235"/>
    </row>
    <row r="15" spans="1:9" ht="15" customHeight="1" x14ac:dyDescent="0.2">
      <c r="A15" s="8" t="s">
        <v>783</v>
      </c>
      <c r="B15" s="12">
        <f t="shared" ref="B15:B21" si="2">IFERROR(AVERAGEIF(C15:I15,"&gt;="&amp;(-1000000000000000)),"-")</f>
        <v>0.50966588021131065</v>
      </c>
      <c r="C15" s="10">
        <f>IFERROR(AVERAGEIF(ASTOR_Ratios!D8:I8,"&gt;="&amp;(-1000000000000000)),"-")</f>
        <v>0.46810356273802728</v>
      </c>
      <c r="D15" s="10">
        <f>IFERROR(AVERAGEIF(AKSEN_Ratios!D8:I8,"&gt;="&amp;(-1000000000000000)),"-")</f>
        <v>0.46149869865427134</v>
      </c>
      <c r="E15" s="10">
        <f>IFERROR(AVERAGEIF(ENJSA_Ratios!D9:I9,"&gt;="&amp;(-1000000000000000)),"-")</f>
        <v>0.61609327459371788</v>
      </c>
      <c r="F15" s="10">
        <f>IFERROR(AVERAGEIF(GWIND_Ratios!D8:I8,"&gt;="&amp;(-1000000000000000)),"-")</f>
        <v>0.32140350294930015</v>
      </c>
      <c r="G15" s="240">
        <f>IFERROR(AVERAGEIF(AYDEM_Ratios!D8:I8,"&gt;="&amp;(-1000000000000000)),"-")</f>
        <v>0.51221466771761259</v>
      </c>
      <c r="H15" s="240">
        <f>IFERROR(AVERAGEIF(ZOREN_Ratios!D8:I8,"&gt;="&amp;(-1000000000000000)),"-")</f>
        <v>0.68872070060644697</v>
      </c>
      <c r="I15" s="240">
        <f>IFERROR(AVERAGEIF(AYEN_Ratios!D8:I8,"&gt;="&amp;(-1000000000000000)),"-")</f>
        <v>0.49962675421979791</v>
      </c>
    </row>
    <row r="16" spans="1:9" ht="15" customHeight="1" x14ac:dyDescent="0.2">
      <c r="A16" s="8" t="s">
        <v>172</v>
      </c>
      <c r="B16" s="236">
        <f t="shared" si="2"/>
        <v>1.3923362410258133</v>
      </c>
      <c r="C16" s="18">
        <f>IFERROR(AVERAGEIF(ASTOR_Ratios!D9:I9,"&gt;="&amp;(-1000000000000000)),"-")</f>
        <v>1.0505554113087565</v>
      </c>
      <c r="D16" s="18">
        <f>IFERROR(AVERAGEIF(AKSEN_Ratios!D9:I9,"&gt;="&amp;(-1000000000000000)),"-")</f>
        <v>0.86967705200655787</v>
      </c>
      <c r="E16" s="18">
        <f>IFERROR(AVERAGEIF(ENJSA_Ratios!D10:I10,"&gt;="&amp;(-1000000000000000)),"-")</f>
        <v>1.6976146197306885</v>
      </c>
      <c r="F16" s="18">
        <f>IFERROR(AVERAGEIF(GWIND_Ratios!D9:I9,"&gt;="&amp;(-1000000000000000)),"-")</f>
        <v>0.49706989485651326</v>
      </c>
      <c r="G16" s="237">
        <f>IFERROR(AVERAGEIF(AYDEM_Ratios!D9:I9,"&gt;="&amp;(-1000000000000000)),"-")</f>
        <v>1.0590672733274571</v>
      </c>
      <c r="H16" s="237">
        <f>IFERROR(AVERAGEIF(ZOREN_Ratios!D9:I9,"&gt;="&amp;(-1000000000000000)),"-")</f>
        <v>3.2888567617982916</v>
      </c>
      <c r="I16" s="237">
        <f>IFERROR(AVERAGEIF(AYEN_Ratios!D9:I9,"&gt;="&amp;(-1000000000000000)),"-")</f>
        <v>1.2835126741524274</v>
      </c>
    </row>
    <row r="17" spans="1:9" ht="15" customHeight="1" x14ac:dyDescent="0.2">
      <c r="A17" s="8" t="s">
        <v>784</v>
      </c>
      <c r="B17" s="236">
        <f t="shared" si="2"/>
        <v>0.96217821069371923</v>
      </c>
      <c r="C17" s="18">
        <f>IFERROR(AVERAGEIF(ASTOR_Ratios!D10:I10,"&gt;="&amp;(-1000000000000000)),"-")</f>
        <v>0.52452392122631819</v>
      </c>
      <c r="D17" s="18">
        <f>IFERROR(AVERAGEIF(AKSEN_Ratios!D10:I10,"&gt;="&amp;(-1000000000000000)),"-")</f>
        <v>0.57248894022316843</v>
      </c>
      <c r="E17" s="18">
        <f>IFERROR(AVERAGEIF(ENJSA_Ratios!D11:I11,"&gt;="&amp;(-1000000000000000)),"-")</f>
        <v>0.8441861377771952</v>
      </c>
      <c r="F17" s="18">
        <f>IFERROR(AVERAGEIF(GWIND_Ratios!D10:I10,"&gt;="&amp;(-1000000000000000)),"-")</f>
        <v>0.32369998291859464</v>
      </c>
      <c r="G17" s="237">
        <f>IFERROR(AVERAGEIF(AYDEM_Ratios!D10:I10,"&gt;="&amp;(-1000000000000000)),"-")</f>
        <v>0.81146277432148006</v>
      </c>
      <c r="H17" s="237">
        <f>IFERROR(AVERAGEIF(ZOREN_Ratios!D10:I10,"&gt;="&amp;(-1000000000000000)),"-")</f>
        <v>2.5252873909302216</v>
      </c>
      <c r="I17" s="237">
        <f>IFERROR(AVERAGEIF(AYEN_Ratios!D10:I10,"&gt;="&amp;(-1000000000000000)),"-")</f>
        <v>1.1335983274590562</v>
      </c>
    </row>
    <row r="18" spans="1:9" ht="15" customHeight="1" x14ac:dyDescent="0.2">
      <c r="A18" s="8" t="s">
        <v>178</v>
      </c>
      <c r="B18" s="236">
        <f t="shared" si="2"/>
        <v>2.5085102593481818</v>
      </c>
      <c r="C18" s="18">
        <f>IFERROR(AVERAGEIF(ASTOR_Ratios!D11:I11,"&gt;="&amp;(-1000000000000000)),"-")</f>
        <v>4.9250256184965001E-2</v>
      </c>
      <c r="D18" s="18">
        <f>IFERROR(AVERAGEIF(AKSEN_Ratios!D11:I11,"&gt;="&amp;(-1000000000000000)),"-")</f>
        <v>2.2602806412073253</v>
      </c>
      <c r="E18" s="18">
        <f>IFERROR(AVERAGEIF(ENJSA_Ratios!D12:I12,"&gt;="&amp;(-1000000000000000)),"-")</f>
        <v>1.8024092164191696</v>
      </c>
      <c r="F18" s="18">
        <f>IFERROR(AVERAGEIF(GWIND_Ratios!D11:I11,"&gt;="&amp;(-1000000000000000)),"-")</f>
        <v>0.58099683614754161</v>
      </c>
      <c r="G18" s="237">
        <f>IFERROR(AVERAGEIF(AYDEM_Ratios!D11:I11,"&gt;="&amp;(-1000000000000000)),"-")</f>
        <v>5.0360016417090661</v>
      </c>
      <c r="H18" s="237">
        <f>IFERROR(AVERAGEIF(ZOREN_Ratios!D11:I11,"&gt;="&amp;(-1000000000000000)),"-")</f>
        <v>4.6043892437994911</v>
      </c>
      <c r="I18" s="237">
        <f>IFERROR(AVERAGEIF(AYEN_Ratios!D11:I11,"&gt;="&amp;(-1000000000000000)),"-")</f>
        <v>3.2262439799697109</v>
      </c>
    </row>
    <row r="19" spans="1:9" ht="15" customHeight="1" x14ac:dyDescent="0.2">
      <c r="A19" s="8" t="s">
        <v>184</v>
      </c>
      <c r="B19" s="236">
        <f t="shared" si="2"/>
        <v>2.4794460532656855</v>
      </c>
      <c r="C19" s="18">
        <f>IFERROR(AVERAGEIF(ASTOR_Ratios!D13:I13,"&gt;="&amp;(-1000000000000000)),"-")</f>
        <v>2.0505550957287357</v>
      </c>
      <c r="D19" s="18" t="str">
        <f>"-"</f>
        <v>-</v>
      </c>
      <c r="E19" s="18">
        <f>IFERROR(AVERAGEIF(ENJSA_Ratios!D13:I13,"&gt;="&amp;(-1000000000000000)),"-")</f>
        <v>2.6976146197306883</v>
      </c>
      <c r="F19" s="18">
        <f>IFERROR(AVERAGEIF(GWIND_Ratios!D13:I13,"&gt;="&amp;(-1000000000000000)),"-")</f>
        <v>1.4970698948565131</v>
      </c>
      <c r="G19" s="237">
        <f>IFERROR(AVERAGEIF(AYDEM_Ratios!D13:I13,"&gt;="&amp;(-1000000000000000)),"-")</f>
        <v>2.0590672733274569</v>
      </c>
      <c r="H19" s="237">
        <f>IFERROR(AVERAGEIF(ZOREN_Ratios!D13:I13,"&gt;="&amp;(-1000000000000000)),"-")</f>
        <v>4.288856761798292</v>
      </c>
      <c r="I19" s="237">
        <f>IFERROR(AVERAGEIF(AYEN_Ratios!D13:I13,"&gt;="&amp;(-1000000000000000)),"-")</f>
        <v>2.2835126741524276</v>
      </c>
    </row>
    <row r="20" spans="1:9" ht="15" customHeight="1" x14ac:dyDescent="0.2">
      <c r="A20" s="8" t="s">
        <v>785</v>
      </c>
      <c r="B20" s="236">
        <f t="shared" si="2"/>
        <v>4.5337698640636654</v>
      </c>
      <c r="C20" s="18">
        <f>IFERROR(AVERAGEIF(ASTOR_Ratios!D12:I12,"&gt;="&amp;(-1000000000000000)),"-")</f>
        <v>5.3647670715571074</v>
      </c>
      <c r="D20" s="18">
        <f>IFERROR(AVERAGEIF(AKSEN_Ratios!D12:I12,"&gt;="&amp;(-1000000000000000)),"-")</f>
        <v>2.6088454412730266</v>
      </c>
      <c r="E20" s="18">
        <f>IFERROR(AVERAGEIF(ENJSA_Ratios!D14:I14,"&gt;="&amp;(-1000000000000000)),"-")</f>
        <v>1.8365478978048397</v>
      </c>
      <c r="F20" s="18">
        <f>IFERROR(AVERAGEIF(GWIND_Ratios!D12:I12,"&gt;="&amp;(-1000000000000000)),"-")</f>
        <v>4.1397348067201429</v>
      </c>
      <c r="G20" s="237">
        <f>IFERROR(AVERAGEIF(AYDEM_Ratios!D12:I12,"&gt;="&amp;(-1000000000000000)),"-")</f>
        <v>0.16320449721723584</v>
      </c>
      <c r="H20" s="237">
        <f>IFERROR(AVERAGEIF(ZOREN_Ratios!D12:I12,"&gt;="&amp;(-1000000000000000)),"-")</f>
        <v>0.74540915894032767</v>
      </c>
      <c r="I20" s="237">
        <f>IFERROR(AVERAGEIF(AYEN_Ratios!D12:I12,"&gt;="&amp;(-1000000000000000)),"-")</f>
        <v>16.877880174932976</v>
      </c>
    </row>
    <row r="21" spans="1:9" ht="15" customHeight="1" x14ac:dyDescent="0.2">
      <c r="A21" s="8" t="s">
        <v>786</v>
      </c>
      <c r="B21" s="236">
        <f t="shared" si="2"/>
        <v>6.209937051770388</v>
      </c>
      <c r="C21" s="18">
        <f>IFERROR(AVERAGEIF(ASTOR_Ratios!D30:I30,"&gt;="&amp;(-1000000000000000)),"-")</f>
        <v>5.8644686511191617</v>
      </c>
      <c r="D21" s="18">
        <f>IFERROR(AVERAGEIF(AKSEN_Ratios!D26:I26,"&gt;="&amp;(-1000000000000000)),"-")</f>
        <v>3.3638169107786289</v>
      </c>
      <c r="E21" s="18">
        <f>IFERROR(AVERAGEIF(ENJSA_Ratios!D28:I28,"&gt;="&amp;(-1000000000000000)),"-")</f>
        <v>2.2870830570556633</v>
      </c>
      <c r="F21" s="18">
        <f>IFERROR(AVERAGEIF(GWIND_Ratios!D31:I31,"&gt;="&amp;(-1000000000000000)),"-")</f>
        <v>5.3458099383166031</v>
      </c>
      <c r="G21" s="237">
        <f>IFERROR(AVERAGEIF(AYDEM_Ratios!D30:I30,"&gt;="&amp;(-1000000000000000)),"-")</f>
        <v>0.62601038109151463</v>
      </c>
      <c r="H21" s="237">
        <f>IFERROR(AVERAGEIF(ZOREN_Ratios!D30:I30,"&gt;="&amp;(-1000000000000000)),"-")</f>
        <v>1.055052791688585</v>
      </c>
      <c r="I21" s="237">
        <f>IFERROR(AVERAGEIF(AYEN_Ratios!D30:I30,"&gt;="&amp;(-1000000000000000)),"-")</f>
        <v>24.927317632342564</v>
      </c>
    </row>
    <row r="22" spans="1:9" ht="15" customHeight="1" x14ac:dyDescent="0.2">
      <c r="A22" s="235" t="s">
        <v>787</v>
      </c>
      <c r="B22" s="235"/>
      <c r="C22" s="235"/>
      <c r="D22" s="235"/>
      <c r="E22" s="235"/>
      <c r="F22" s="235"/>
    </row>
    <row r="23" spans="1:9" ht="15" customHeight="1" x14ac:dyDescent="0.2">
      <c r="A23" s="8" t="s">
        <v>188</v>
      </c>
      <c r="B23" s="12">
        <f t="shared" ref="B23:B29" si="3">IFERROR(AVERAGEIF(C23:I23,"&gt;="&amp;(-1000000000000000)),"-")</f>
        <v>0.31822407032165978</v>
      </c>
      <c r="C23" s="10">
        <f>IFERROR(AVERAGEIF(ASTOR_Ratios!D15:I15,"&gt;="&amp;(-1000000000000000)),"-")</f>
        <v>0.33550797472960864</v>
      </c>
      <c r="D23" s="10">
        <f>IFERROR(AVERAGEIF(AKSEN_Ratios!D14:I14,"&gt;="&amp;(-1000000000000000)),"-")</f>
        <v>0.18333321305908545</v>
      </c>
      <c r="E23" s="10">
        <f>IFERROR(AVERAGEIF(ENJSA_Ratios!D22:I22,"&gt;="&amp;(-1000000000000000)),"-")</f>
        <v>0.22479042742113961</v>
      </c>
      <c r="F23" s="10">
        <f>IFERROR(AVERAGEIF(GWIND_Ratios!D15:I15,"&gt;="&amp;(-1000000000000000)),"-")</f>
        <v>0.6440475537024567</v>
      </c>
      <c r="G23" s="240">
        <f>IFERROR(AVERAGEIF(AYDEM_Ratios!D15:I15,"&gt;="&amp;(-1000000000000000)),"-")</f>
        <v>0.41829881106117256</v>
      </c>
      <c r="H23" s="240">
        <f>IFERROR(AVERAGEIF(ZOREN_Ratios!D15:I15,"&gt;="&amp;(-1000000000000000)),"-")</f>
        <v>0.13565644292373677</v>
      </c>
      <c r="I23" s="240">
        <f>IFERROR(AVERAGEIF(AYEN_Ratios!D15:I15,"&gt;="&amp;(-1000000000000000)),"-")</f>
        <v>0.28593406935441895</v>
      </c>
    </row>
    <row r="24" spans="1:9" ht="15" customHeight="1" x14ac:dyDescent="0.2">
      <c r="A24" s="8" t="s">
        <v>191</v>
      </c>
      <c r="B24" s="12">
        <f t="shared" si="3"/>
        <v>0.35524327838989045</v>
      </c>
      <c r="C24" s="10">
        <f>IFERROR(AVERAGEIF(ASTOR_Ratios!D16:I16,"&gt;="&amp;(-1000000000000000)),"-")</f>
        <v>0.30742565835957447</v>
      </c>
      <c r="D24" s="10">
        <f>IFERROR(AVERAGEIF(AKSEN_Ratios!D15:I15,"&gt;="&amp;(-1000000000000000)),"-")</f>
        <v>0.21978484944183907</v>
      </c>
      <c r="E24" s="10">
        <f>IFERROR(AVERAGEIF(ENJSA_Ratios!D23:I23,"&gt;="&amp;(-1000000000000000)),"-")</f>
        <v>0.15773774003222085</v>
      </c>
      <c r="F24" s="10">
        <f>IFERROR(AVERAGEIF(GWIND_Ratios!D16:I16,"&gt;="&amp;(-1000000000000000)),"-")</f>
        <v>0.89435435137431929</v>
      </c>
      <c r="G24" s="240">
        <f>IFERROR(AVERAGEIF(AYDEM_Ratios!D16:I16,"&gt;="&amp;(-1000000000000000)),"-")</f>
        <v>0.15790321407449195</v>
      </c>
      <c r="H24" s="240">
        <f>IFERROR(AVERAGEIF(ZOREN_Ratios!D16:I16,"&gt;="&amp;(-1000000000000000)),"-")</f>
        <v>0.33543571212181095</v>
      </c>
      <c r="I24" s="240">
        <f>IFERROR(AVERAGEIF(AYEN_Ratios!D16:I16,"&gt;="&amp;(-1000000000000000)),"-")</f>
        <v>0.41406142332497664</v>
      </c>
    </row>
    <row r="25" spans="1:9" ht="15" customHeight="1" x14ac:dyDescent="0.2">
      <c r="A25" s="8" t="s">
        <v>788</v>
      </c>
      <c r="B25" s="12">
        <f t="shared" si="3"/>
        <v>0.24039085055748011</v>
      </c>
      <c r="C25" s="10">
        <f>IFERROR(AVERAGEIF(ASTOR_Ratios!D17:I17,"&gt;="&amp;(-1000000000000000)),"-")</f>
        <v>0.28203755571024319</v>
      </c>
      <c r="D25" s="10">
        <f>IFERROR(AVERAGEIF(AKSEN_Ratios!D16:I16,"&gt;="&amp;(-1000000000000000)),"-")</f>
        <v>0.16671675955130685</v>
      </c>
      <c r="E25" s="10">
        <f>IFERROR(AVERAGEIF(ENJSA_Ratios!D24:I24,"&gt;="&amp;(-1000000000000000)),"-")</f>
        <v>0.12799917253982901</v>
      </c>
      <c r="F25" s="10">
        <f>IFERROR(AVERAGEIF(GWIND_Ratios!D17:I17,"&gt;="&amp;(-1000000000000000)),"-")</f>
        <v>0.71539712094356134</v>
      </c>
      <c r="G25" s="240">
        <f>IFERROR(AVERAGEIF(AYDEM_Ratios!D17:I17,"&gt;="&amp;(-1000000000000000)),"-")</f>
        <v>-0.14945928348792634</v>
      </c>
      <c r="H25" s="240">
        <f>IFERROR(AVERAGEIF(ZOREN_Ratios!D17:I17,"&gt;="&amp;(-1000000000000000)),"-")</f>
        <v>0.2233161637896548</v>
      </c>
      <c r="I25" s="240">
        <f>IFERROR(AVERAGEIF(AYEN_Ratios!D17:I17,"&gt;="&amp;(-1000000000000000)),"-")</f>
        <v>0.31672846485569173</v>
      </c>
    </row>
    <row r="26" spans="1:9" ht="15" customHeight="1" x14ac:dyDescent="0.2">
      <c r="A26" s="8" t="s">
        <v>789</v>
      </c>
      <c r="B26" s="12">
        <f t="shared" si="3"/>
        <v>6.894228428634834E-2</v>
      </c>
      <c r="C26" s="10">
        <f>IFERROR(AVERAGEIF(ASTOR_Ratios!D18:I18,"&gt;="&amp;(-1000000000000000)),"-")</f>
        <v>0.20815023484885017</v>
      </c>
      <c r="D26" s="10">
        <f>IFERROR(AVERAGEIF(AKSEN_Ratios!D17:I17,"&gt;="&amp;(-1000000000000000)),"-")</f>
        <v>0.1142966552106114</v>
      </c>
      <c r="E26" s="10">
        <f>IFERROR(AVERAGEIF(ENJSA_Ratios!D25:I25,"&gt;="&amp;(-1000000000000000)),"-")</f>
        <v>5.1885426382026041E-2</v>
      </c>
      <c r="F26" s="10">
        <f>IFERROR(AVERAGEIF(GWIND_Ratios!D18:I18,"&gt;="&amp;(-1000000000000000)),"-")</f>
        <v>0.43967142050403091</v>
      </c>
      <c r="G26" s="240">
        <f>IFERROR(AVERAGEIF(AYDEM_Ratios!D18:I18,"&gt;="&amp;(-1000000000000000)),"-")</f>
        <v>-0.4098292440174352</v>
      </c>
      <c r="H26" s="240">
        <f>IFERROR(AVERAGEIF(ZOREN_Ratios!D18:I18,"&gt;="&amp;(-1000000000000000)),"-")</f>
        <v>-1.5215188527277783E-2</v>
      </c>
      <c r="I26" s="240">
        <f>IFERROR(AVERAGEIF(AYEN_Ratios!D18:I18,"&gt;="&amp;(-1000000000000000)),"-")</f>
        <v>9.3636685603632808E-2</v>
      </c>
    </row>
    <row r="27" spans="1:9" ht="15" customHeight="1" x14ac:dyDescent="0.2">
      <c r="A27" s="8" t="s">
        <v>200</v>
      </c>
      <c r="B27" s="12">
        <f t="shared" si="3"/>
        <v>6.2659680740794046E-2</v>
      </c>
      <c r="C27" s="10">
        <f>IFERROR(AVERAGEIF(ASTOR_Ratios!D19:I19,"&gt;="&amp;(-1000000000000000)),"-")</f>
        <v>0.19092449829487021</v>
      </c>
      <c r="D27" s="10">
        <f>IFERROR(AVERAGEIF(AKSEN_Ratios!D18:I18,"&gt;="&amp;(-1000000000000000)),"-")</f>
        <v>7.8864541488046433E-2</v>
      </c>
      <c r="E27" s="10">
        <f>IFERROR(AVERAGEIF(ENJSA_Ratios!D26:I26,"&gt;="&amp;(-1000000000000000)),"-")</f>
        <v>4.2012946024037157E-2</v>
      </c>
      <c r="F27" s="10">
        <f>IFERROR(AVERAGEIF(GWIND_Ratios!D19:I19,"&gt;="&amp;(-1000000000000000)),"-")</f>
        <v>0.13040623172264329</v>
      </c>
      <c r="G27" s="240">
        <f>IFERROR(AVERAGEIF(AYDEM_Ratios!D19:I19,"&gt;="&amp;(-1000000000000000)),"-")</f>
        <v>-4.9100540749261699E-2</v>
      </c>
      <c r="H27" s="240">
        <f>IFERROR(AVERAGEIF(ZOREN_Ratios!D19:I19,"&gt;="&amp;(-1000000000000000)),"-")</f>
        <v>-3.8443851518202153E-3</v>
      </c>
      <c r="I27" s="240">
        <f>IFERROR(AVERAGEIF(AYEN_Ratios!D19:I19,"&gt;="&amp;(-1000000000000000)),"-")</f>
        <v>4.9354473557043164E-2</v>
      </c>
    </row>
    <row r="28" spans="1:9" ht="15" customHeight="1" x14ac:dyDescent="0.2">
      <c r="A28" s="8" t="s">
        <v>203</v>
      </c>
      <c r="B28" s="12">
        <f t="shared" si="3"/>
        <v>0.11602837863332004</v>
      </c>
      <c r="C28" s="10">
        <f>IFERROR(AVERAGEIF(ASTOR_Ratios!D20:I20,"&gt;="&amp;(-1000000000000000)),"-")</f>
        <v>0.3791346540302219</v>
      </c>
      <c r="D28" s="10">
        <f>IFERROR(AVERAGEIF(AKSEN_Ratios!D19:I19,"&gt;="&amp;(-1000000000000000)),"-")</f>
        <v>0.14349719669258001</v>
      </c>
      <c r="E28" s="10">
        <f>IFERROR(AVERAGEIF(ENJSA_Ratios!D27:I27,"&gt;="&amp;(-1000000000000000)),"-")</f>
        <v>0.11512642453365403</v>
      </c>
      <c r="F28" s="10">
        <f>IFERROR(AVERAGEIF(GWIND_Ratios!D20:I20,"&gt;="&amp;(-1000000000000000)),"-")</f>
        <v>0.18675317570093272</v>
      </c>
      <c r="G28" s="240">
        <f>IFERROR(AVERAGEIF(AYDEM_Ratios!D20:I20,"&gt;="&amp;(-1000000000000000)),"-")</f>
        <v>-9.9996805595975027E-2</v>
      </c>
      <c r="H28" s="240">
        <f>IFERROR(AVERAGEIF(ZOREN_Ratios!D20:I20,"&gt;="&amp;(-1000000000000000)),"-")</f>
        <v>-2.8689431600778469E-3</v>
      </c>
      <c r="I28" s="240">
        <f>IFERROR(AVERAGEIF(AYEN_Ratios!D20:I20,"&gt;="&amp;(-1000000000000000)),"-")</f>
        <v>9.0552948231904309E-2</v>
      </c>
    </row>
    <row r="29" spans="1:9" ht="15" customHeight="1" x14ac:dyDescent="0.2">
      <c r="A29" s="8" t="s">
        <v>206</v>
      </c>
      <c r="B29" s="236">
        <f t="shared" si="3"/>
        <v>1.4970698948565133</v>
      </c>
      <c r="C29" s="18" t="str">
        <f>IFERROR(AVERAGEIF(ASTOR_Ratios!D21:I21,"&gt;="&amp;(-1000000000000000)),"-")</f>
        <v>-</v>
      </c>
      <c r="D29" s="18" t="str">
        <f>"-"</f>
        <v>-</v>
      </c>
      <c r="E29" s="18" t="str">
        <f>"-"</f>
        <v>-</v>
      </c>
      <c r="F29" s="18">
        <f>IFERROR(AVERAGEIF(GWIND_Ratios!D21:I21,"&gt;="&amp;(-1000000000000000)),"-")</f>
        <v>1.4970698948565133</v>
      </c>
      <c r="G29" s="237" t="str">
        <f>"-"</f>
        <v>-</v>
      </c>
      <c r="H29" s="237" t="str">
        <f>"-"</f>
        <v>-</v>
      </c>
      <c r="I29" s="237" t="str">
        <f>"-"</f>
        <v>-</v>
      </c>
    </row>
    <row r="30" spans="1:9" ht="15" customHeight="1" x14ac:dyDescent="0.2">
      <c r="A30" s="235" t="s">
        <v>790</v>
      </c>
      <c r="B30" s="235"/>
      <c r="C30" s="235"/>
      <c r="D30" s="235"/>
      <c r="E30" s="235"/>
      <c r="F30" s="235"/>
    </row>
    <row r="31" spans="1:9" ht="15" customHeight="1" x14ac:dyDescent="0.2">
      <c r="A31" s="8" t="s">
        <v>791</v>
      </c>
      <c r="B31" s="12">
        <f>IFERROR(AVERAGEIF(C31:I31,"&gt;="&amp;(-1000000000000000)),"-")</f>
        <v>0.462055719131857</v>
      </c>
      <c r="C31" s="10">
        <f>IFERROR(AVERAGE((ASTOR_PLS!B3/ASTOR_PLS!C3-1),(ASTOR_PLS!D3/ASTOR_PLS!E3-1),(ASTOR_PLS!F3/ASTOR_PLS!G3-1),(ASTOR_PLS!H3/ASTOR_PLS!I3-1),(ASTOR_PLS!I3/ASTOR_PLS!J3-1)),"-")</f>
        <v>0.57017720757644474</v>
      </c>
      <c r="D31" s="10">
        <f>IFERROR(AVERAGE((AKSEN_PLS!B4/AKSEN_PLS!C4-1),(AKSEN_PLS!D4/AKSEN_PLS!E4-1),(AKSEN_PLS!F4/AKSEN_PLS!G4-1),(AKSEN_PLS!H4/AKSEN_PLS!I4-1),(AKSEN_PLS!I4/AKSEN_PLS!J4-1)),"-")</f>
        <v>0.45145741193013988</v>
      </c>
      <c r="E31" s="10">
        <f>IFERROR(AVERAGE((ENJSA_PLS!B4/ENJSA_PLS!C4-1),(ENJSA_PLS!D4/ENJSA_PLS!E4-1),(ENJSA_PLS!F4/ENJSA_PLS!G4-1),(ENJSA_PLS!H4/ENJSA_PLS!I4-1),(ENJSA_PLS!I4/ENJSA_PLS!J4-1)),"-")</f>
        <v>0.38364274813621141</v>
      </c>
      <c r="F31" s="10">
        <f>IFERROR(AVERAGE((GWIND_PLS!B4/GWIND_PLS!C4-1),(GWIND_PLS!D4/GWIND_PLS!E4-1),(GWIND_PLS!F4/GWIND_PLS!G4-1),(GWIND_PLS!H4/GWIND_PLS!I4-1),(GWIND_PLS!I4/GWIND_PLS!J4-1)),"-")</f>
        <v>0.28990977886473968</v>
      </c>
      <c r="G31" s="240">
        <f>IFERROR(AVERAGE((AYDEM_PLS!B4/AYDEM_PLS!C4-1),(AYDEM_PLS!D4/AYDEM_PLS!E4-1),(AYDEM_PLS!F4/AYDEM_PLS!G4-1),(AYDEM_PLS!H4/AYDEM_PLS!I4-1),(AYDEM_PLS!I4/AYDEM_PLS!J4-1)),"-")</f>
        <v>0.41031960220250407</v>
      </c>
      <c r="H31" s="240">
        <f>IFERROR(AVERAGE((ZOREN_PLS!B4/ZOREN_PLS!C4-1),(ZOREN_PLS!D4/ZOREN_PLS!E4-1),(ZOREN_PLS!F4/ZOREN_PLS!G4-1),(ZOREN_PLS!H4/ZOREN_PLS!I4-1),(ZOREN_PLS!I4/ZOREN_PLS!J4-1)),"-")</f>
        <v>0.26577264628987818</v>
      </c>
      <c r="I31" s="240">
        <f>IFERROR(AVERAGE((AYEN_PLS!B4/AYEN_PLS!C4-1),(AYEN_PLS!D4/AYEN_PLS!E4-1),(AYEN_PLS!F4/AYEN_PLS!G4-1),(AYEN_PLS!H4/AYEN_PLS!I4-1),(AYEN_PLS!I4/AYEN_PLS!J4-1)),"-")</f>
        <v>0.86311063892308115</v>
      </c>
    </row>
    <row r="32" spans="1:9" ht="15" customHeight="1" x14ac:dyDescent="0.2">
      <c r="A32" s="8" t="s">
        <v>792</v>
      </c>
      <c r="B32" s="12">
        <f>IFERROR(AVERAGEIF(C32:I32,"&gt;="&amp;(-1000000000000000)),"-")</f>
        <v>0.45671228325136359</v>
      </c>
      <c r="C32" s="10">
        <f>IFERROR(AVERAGE((ASTOR_PLS!B5/ASTOR_PLS!C5-1),(ASTOR_PLS!D5/ASTOR_PLS!E5-1),(ASTOR_PLS!F5/ASTOR_PLS!G5-1),(ASTOR_PLS!H5/ASTOR_PLS!I5-1),(ASTOR_PLS!I5/ASTOR_PLS!J5-1)),"-")</f>
        <v>0.69431509527941648</v>
      </c>
      <c r="D32" s="10">
        <f>IFERROR(AVERAGE((AKSEN_PLS!B6/AKSEN_PLS!C6-1),(AKSEN_PLS!D6/AKSEN_PLS!E6-1),(AKSEN_PLS!F6/AKSEN_PLS!G6-1),(AKSEN_PLS!H6/AKSEN_PLS!I6-1),(AKSEN_PLS!I6/AKSEN_PLS!J6-1)),"-")</f>
        <v>0.37685485225451365</v>
      </c>
      <c r="E32" s="10">
        <f>IFERROR(AVERAGE((ENJSA_PLS!B6/ENJSA_PLS!C6-1),(ENJSA_PLS!D6/ENJSA_PLS!E6-1),(ENJSA_PLS!F6/ENJSA_PLS!G6-1),(ENJSA_PLS!H6/ENJSA_PLS!I6-1),(ENJSA_PLS!I6/ENJSA_PLS!J6-1)),"-")</f>
        <v>0.34066798209055277</v>
      </c>
      <c r="F32" s="10">
        <f>IFERROR(AVERAGE((GWIND_PLS!B6/GWIND_PLS!C6-1),(GWIND_PLS!D6/GWIND_PLS!E6-1),(GWIND_PLS!F6/GWIND_PLS!G6-1),(GWIND_PLS!H6/GWIND_PLS!I6-1),(GWIND_PLS!I6/GWIND_PLS!J6-1)),"-")</f>
        <v>0.26934940758973025</v>
      </c>
      <c r="G32" s="240">
        <f>IFERROR(AVERAGE((AYDEM_PLS!B6/AYDEM_PLS!C6-1),(AYDEM_PLS!D6/AYDEM_PLS!E6-1),(AYDEM_PLS!F6/AYDEM_PLS!G6-1),(AYDEM_PLS!H6/AYDEM_PLS!I6-1),(AYDEM_PLS!I6/AYDEM_PLS!J6-1)),"-")</f>
        <v>0.5473490816469524</v>
      </c>
      <c r="H32" s="240">
        <f>IFERROR(AVERAGE((ZOREN_PLS!B6/ZOREN_PLS!C6-1),(ZOREN_PLS!D6/ZOREN_PLS!E6-1),(ZOREN_PLS!F6/ZOREN_PLS!G6-1),(ZOREN_PLS!H6/ZOREN_PLS!I6-1),(ZOREN_PLS!I6/ZOREN_PLS!J6-1)),"-")</f>
        <v>5.9375992336229991E-2</v>
      </c>
      <c r="I32" s="240">
        <f>IFERROR(AVERAGE((AYEN_PLS!B6/AYEN_PLS!C6-1),(AYEN_PLS!D6/AYEN_PLS!E6-1),(AYEN_PLS!F6/AYEN_PLS!G6-1),(AYEN_PLS!H6/AYEN_PLS!I6-1),(AYEN_PLS!I6/AYEN_PLS!J6-1)),"-")</f>
        <v>0.90907357156214985</v>
      </c>
    </row>
    <row r="33" spans="1:9" ht="15" customHeight="1" x14ac:dyDescent="0.2">
      <c r="A33" s="8" t="s">
        <v>793</v>
      </c>
      <c r="B33" s="12">
        <f>IFERROR(AVERAGEIF(C33:I33,"&gt;="&amp;(-1000000000000000)),"-")</f>
        <v>1.5942894711286466</v>
      </c>
      <c r="C33" s="10">
        <f>IFERROR(AVERAGE((ASTOR_PLS!B11/ASTOR_PLS!C11-1),(ASTOR_PLS!D11/ASTOR_PLS!E11-1),(ASTOR_PLS!F11/ASTOR_PLS!G11-1),(ASTOR_PLS!H11/ASTOR_PLS!I11-1),(ASTOR_PLS!I11/ASTOR_PLS!J11-1)),"-")</f>
        <v>0.74503879587487121</v>
      </c>
      <c r="D33" s="10">
        <f>IFERROR(AVERAGE((AKSEN_PLS!B11/AKSEN_PLS!C11-1),(AKSEN_PLS!D11/AKSEN_PLS!E11-1),(AKSEN_PLS!F11/AKSEN_PLS!G11-1),(AKSEN_PLS!H11/AKSEN_PLS!I11-1),(AKSEN_PLS!I11/AKSEN_PLS!J11-1)),"-")</f>
        <v>0.42811803804747406</v>
      </c>
      <c r="E33" s="10">
        <f>IFERROR(AVERAGE((ENJSA_PLS!B10/ENJSA_PLS!C10-1),(ENJSA_PLS!D10/ENJSA_PLS!E10-1),(ENJSA_PLS!F10/ENJSA_PLS!G10-1),(ENJSA_PLS!H10/ENJSA_PLS!I10-1),(ENJSA_PLS!I10/ENJSA_PLS!J10-1)),"-")</f>
        <v>0.33343190184416704</v>
      </c>
      <c r="F33" s="10">
        <f>IFERROR(AVERAGE((GWIND_PLS!B11/GWIND_PLS!C11-1),(GWIND_PLS!D11/GWIND_PLS!E11-1),(GWIND_PLS!F11/GWIND_PLS!G11-1),(GWIND_PLS!H11/GWIND_PLS!I11-1),(GWIND_PLS!I11/GWIND_PLS!J11-1)),"-")</f>
        <v>0.31091782211952268</v>
      </c>
      <c r="G33" s="240">
        <f>IFERROR(AVERAGE((AYDEM_PLS!B11/AYDEM_PLS!C11-1),(AYDEM_PLS!D11/AYDEM_PLS!E11-1),(AYDEM_PLS!F11/AYDEM_PLS!G11-1),(AYDEM_PLS!H11/AYDEM_PLS!I11-1),(AYDEM_PLS!I11/AYDEM_PLS!J11-1)),"-")</f>
        <v>8.4458389403191312</v>
      </c>
      <c r="H33" s="240">
        <f>IFERROR(AVERAGE((ZOREN_PLS!B12/ZOREN_PLS!C12-1),(ZOREN_PLS!D12/ZOREN_PLS!E12-1),(ZOREN_PLS!F12/ZOREN_PLS!G12-1),(ZOREN_PLS!H12/ZOREN_PLS!I12-1),(ZOREN_PLS!I12/ZOREN_PLS!J12-1)),"-")</f>
        <v>0.26323241004529113</v>
      </c>
      <c r="I33" s="240">
        <f>IFERROR(AVERAGE((AYEN_PLS!B11/AYEN_PLS!C11-1),(AYEN_PLS!D11/AYEN_PLS!E11-1),(AYEN_PLS!F11/AYEN_PLS!G11-1),(AYEN_PLS!H11/AYEN_PLS!I11-1),(AYEN_PLS!I11/AYEN_PLS!J11-1)),"-")</f>
        <v>0.63344838965006944</v>
      </c>
    </row>
    <row r="34" spans="1:9" ht="15" customHeight="1" x14ac:dyDescent="0.2">
      <c r="A34" s="8" t="s">
        <v>794</v>
      </c>
      <c r="B34" s="12">
        <f>IFERROR(AVERAGEIF(C34:I34,"&gt;="&amp;(-1000000000000000)),"-")</f>
        <v>0.21667200379204962</v>
      </c>
      <c r="C34" s="10">
        <f>IFERROR(AVERAGE((ASTOR_PLS!B13/ASTOR_PLS!C13-1),(ASTOR_PLS!D13/ASTOR_PLS!E13-1),(ASTOR_PLS!F13/ASTOR_PLS!G13-1),(ASTOR_PLS!H13/ASTOR_PLS!I13-1),(ASTOR_PLS!I13/ASTOR_PLS!J13-1)),"-")</f>
        <v>0.68960371145160881</v>
      </c>
      <c r="D34" s="10">
        <f>IFERROR(AVERAGE((AKSEN_PLS!B13/AKSEN_PLS!C13-1),(AKSEN_PLS!D13/AKSEN_PLS!E13-1),(AKSEN_PLS!F13/AKSEN_PLS!G13-1),(AKSEN_PLS!H13/AKSEN_PLS!I13-1),(AKSEN_PLS!I13/AKSEN_PLS!J13-1)),"-")</f>
        <v>0.37250779025563074</v>
      </c>
      <c r="E34" s="10">
        <f>IFERROR(AVERAGE((ENJSA_PLS!B12/ENJSA_PLS!C12-1),(ENJSA_PLS!D12/ENJSA_PLS!E12-1),(ENJSA_PLS!F12/ENJSA_PLS!G12-1),(ENJSA_PLS!H12/ENJSA_PLS!I12-1),(ENJSA_PLS!I12/ENJSA_PLS!J12-1)),"-")</f>
        <v>0.31910465314690872</v>
      </c>
      <c r="F34" s="10">
        <f>IFERROR(AVERAGE((GWIND_PLS!B13/GWIND_PLS!C13-1),(GWIND_PLS!D13/GWIND_PLS!E13-1),(GWIND_PLS!F13/GWIND_PLS!G13-1),(GWIND_PLS!H13/GWIND_PLS!I13-1),(GWIND_PLS!I13/GWIND_PLS!J13-1)),"-")</f>
        <v>0.31515418648961702</v>
      </c>
      <c r="G34" s="240">
        <f>IFERROR(AVERAGE((AYDEM_PLS!B13/AYDEM_PLS!C13-1),(AYDEM_PLS!D13/AYDEM_PLS!E13-1),(AYDEM_PLS!F13/AYDEM_PLS!G13-1),(AYDEM_PLS!H13/AYDEM_PLS!I13-1),(AYDEM_PLS!I13/AYDEM_PLS!J13-1)),"-")</f>
        <v>-0.98696532530974945</v>
      </c>
      <c r="H34" s="240">
        <f>IFERROR(AVERAGE((ZOREN_PLS!B14/ZOREN_PLS!C14-1),(ZOREN_PLS!D14/ZOREN_PLS!E14-1),(ZOREN_PLS!F14/ZOREN_PLS!G14-1),(ZOREN_PLS!H14/ZOREN_PLS!I14-1),(ZOREN_PLS!I14/ZOREN_PLS!J14-1)),"-")</f>
        <v>0.25923220434699867</v>
      </c>
      <c r="I34" s="240">
        <f>IFERROR(AVERAGE((AYEN_PLS!B13/AYEN_PLS!C13-1),(AYEN_PLS!D13/AYEN_PLS!E13-1),(AYEN_PLS!F13/AYEN_PLS!G13-1),(AYEN_PLS!H13/AYEN_PLS!I13-1),(AYEN_PLS!I13/AYEN_PLS!J13-1)),"-")</f>
        <v>0.54806680616333292</v>
      </c>
    </row>
    <row r="35" spans="1:9" ht="15" customHeight="1" x14ac:dyDescent="0.2">
      <c r="A35" s="8" t="s">
        <v>795</v>
      </c>
      <c r="B35" s="12">
        <f>IFERROR(AVERAGEIF(C35:I35,"&gt;="&amp;(-1000000000000000)),"-")</f>
        <v>0.34525171070901195</v>
      </c>
      <c r="C35" s="10">
        <f>IFERROR(AVERAGE((ASTOR_PLS!B23/ASTOR_PLS!C23-1),(ASTOR_PLS!D23/ASTOR_PLS!E23-1),(ASTOR_PLS!F23/ASTOR_PLS!G23-1),(ASTOR_PLS!H23/ASTOR_PLS!I23-1),(ASTOR_PLS!I23/ASTOR_PLS!J23-1)),"-")</f>
        <v>0.98851709763658557</v>
      </c>
      <c r="D35" s="10">
        <f>IFERROR(AVERAGE((AKSEN_PLS!B27/AKSEN_PLS!C27-1),(AKSEN_PLS!D27/AKSEN_PLS!E27-1),(AKSEN_PLS!F27/AKSEN_PLS!G27-1),(AKSEN_PLS!H27/AKSEN_PLS!I27-1),(AKSEN_PLS!I27/AKSEN_PLS!J27-1)),"-")</f>
        <v>0.67705446646800149</v>
      </c>
      <c r="E35" s="10">
        <f>IFERROR(AVERAGE((ENJSA_PLS!B21/ENJSA_PLS!C21-1),(ENJSA_PLS!D21/ENJSA_PLS!E21-1),(ENJSA_PLS!F21/ENJSA_PLS!G21-1),(ENJSA_PLS!H21/ENJSA_PLS!I21-1),(ENJSA_PLS!I21/ENJSA_PLS!J21-1)),"-")</f>
        <v>0.48523806386649965</v>
      </c>
      <c r="F35" s="10">
        <f>IFERROR(AVERAGE((GWIND_PLS!B20/GWIND_PLS!C20-1),(GWIND_PLS!D20/GWIND_PLS!E20-1),(GWIND_PLS!F20/GWIND_PLS!G20-1),(GWIND_PLS!H20/GWIND_PLS!I20-1),(GWIND_PLS!I20/GWIND_PLS!J20-1)),"-")</f>
        <v>0.86557426049328789</v>
      </c>
      <c r="G35" s="240">
        <f>IFERROR(AVERAGE((AYDEM_PLS!B20/AYDEM_PLS!C20-1),(AYDEM_PLS!D20/AYDEM_PLS!E20-1),(AYDEM_PLS!F20/AYDEM_PLS!G20-1),(AYDEM_PLS!H20/AYDEM_PLS!I20-1),(AYDEM_PLS!I20/AYDEM_PLS!J20-1)),"-")</f>
        <v>-1.391634708572286</v>
      </c>
      <c r="H35" s="240">
        <f>IFERROR(AVERAGE((ZOREN_PLS!B21/ZOREN_PLS!C21-1),(ZOREN_PLS!D21/ZOREN_PLS!E21-1),(ZOREN_PLS!F21/ZOREN_PLS!G21-1),(ZOREN_PLS!H21/ZOREN_PLS!I21-1),(ZOREN_PLS!I21/ZOREN_PLS!J21-1)),"-")</f>
        <v>-0.73307100972041694</v>
      </c>
      <c r="I35" s="240">
        <f>IFERROR(AVERAGE((AYEN_PLS!B19/AYEN_PLS!C19-1),(AYEN_PLS!D19/AYEN_PLS!E19-1),(AYEN_PLS!F19/AYEN_PLS!G19-1),(AYEN_PLS!H19/AYEN_PLS!I19-1),(AYEN_PLS!I19/AYEN_PLS!J19-1)),"-")</f>
        <v>1.5250838047914124</v>
      </c>
    </row>
    <row r="36" spans="1:9" ht="15" customHeight="1" x14ac:dyDescent="0.2">
      <c r="A36" s="235" t="s">
        <v>796</v>
      </c>
      <c r="B36" s="235"/>
      <c r="C36" s="235"/>
      <c r="D36" s="235"/>
      <c r="E36" s="235"/>
      <c r="F36" s="235"/>
    </row>
    <row r="37" spans="1:9" ht="15" customHeight="1" x14ac:dyDescent="0.2">
      <c r="A37" s="8" t="s">
        <v>797</v>
      </c>
      <c r="B37" s="241">
        <f t="shared" ref="B37:B45" si="4">IFERROR(AVERAGEIF(C37:I37,"&gt;="&amp;(-1000000000000000)),"-")</f>
        <v>56.17</v>
      </c>
      <c r="C37" s="21">
        <f>ASTOR_Ratios!D38</f>
        <v>159.80000000000001</v>
      </c>
      <c r="D37" s="21">
        <f>AKSEN_Ratios!D37</f>
        <v>72.5</v>
      </c>
      <c r="E37" s="21">
        <f>ENJSA_Ratios!D42</f>
        <v>84.55</v>
      </c>
      <c r="F37" s="21">
        <f>GWIND_Ratios!D39</f>
        <v>26.46</v>
      </c>
      <c r="G37" s="242">
        <f>AYDEM_Ratios!D38</f>
        <v>22.56</v>
      </c>
      <c r="H37" s="242">
        <f>ZOREN_Ratios!D38</f>
        <v>3.08</v>
      </c>
      <c r="I37" s="242">
        <f>AYEN_Ratios!D38</f>
        <v>24.24</v>
      </c>
    </row>
    <row r="38" spans="1:9" ht="15" customHeight="1" x14ac:dyDescent="0.2">
      <c r="A38" s="8" t="s">
        <v>572</v>
      </c>
      <c r="B38" s="243">
        <f t="shared" si="4"/>
        <v>1418.2242857142858</v>
      </c>
      <c r="C38" s="20">
        <f>ASTOR_Ratios!D33</f>
        <v>998</v>
      </c>
      <c r="D38" s="20">
        <f>AKSEN_Ratios!D30</f>
        <v>1226</v>
      </c>
      <c r="E38" s="20">
        <f>ENJSA_Ratios!D35</f>
        <v>1181.07</v>
      </c>
      <c r="F38" s="20">
        <f>GWIND_Ratios!D34</f>
        <v>540</v>
      </c>
      <c r="G38" s="244">
        <f>AYDEM_Ratios!D33</f>
        <v>705</v>
      </c>
      <c r="H38" s="244">
        <f>ZOREN_Ratios!D33</f>
        <v>5000</v>
      </c>
      <c r="I38" s="244">
        <f>AYEN_Ratios!D33</f>
        <v>277.5</v>
      </c>
    </row>
    <row r="39" spans="1:9" ht="15" customHeight="1" x14ac:dyDescent="0.2">
      <c r="A39" s="8" t="s">
        <v>798</v>
      </c>
      <c r="B39" s="245">
        <f t="shared" si="4"/>
        <v>1.2860856000076464</v>
      </c>
      <c r="C39" s="15">
        <f>IFERROR(AVERAGEIF(ASTOR_Ratios!D34:I34,"&gt;="&amp;(-1000000000000000)),"-")</f>
        <v>3.5477988942648193</v>
      </c>
      <c r="D39" s="15">
        <f>IFERROR(AVERAGEIF(AKSEN_Ratios!D31:I31,"&gt;="&amp;(-1000000000000000)),"-")</f>
        <v>2.8117001087547582</v>
      </c>
      <c r="E39" s="15">
        <f>IFERROR(AVERAGEIF(ENJSA_Ratios!D36:I36,"&gt;="&amp;(-1000000000000000)),"-")</f>
        <v>2.921642596664547</v>
      </c>
      <c r="F39" s="15">
        <f>IFERROR(AVERAGEIF(GWIND_Ratios!D35:I35,"&gt;="&amp;(-1000000000000000)),"-")</f>
        <v>1.1382609888403816</v>
      </c>
      <c r="G39" s="246">
        <f>IFERROR(AVERAGEIF(AYDEM_Ratios!D34:I34,"&gt;="&amp;(-1000000000000000)),"-")</f>
        <v>-3.6709233820145228</v>
      </c>
      <c r="H39" s="246">
        <f>IFERROR(AVERAGEIF(ZOREN_Ratios!D34:I34,"&gt;="&amp;(-1000000000000000)),"-")</f>
        <v>-0.20766415000000005</v>
      </c>
      <c r="I39" s="246">
        <f>IFERROR(AVERAGEIF(AYEN_Ratios!D34:I34,"&gt;="&amp;(-1000000000000000)),"-")</f>
        <v>2.461784143543543</v>
      </c>
    </row>
    <row r="40" spans="1:9" ht="15" customHeight="1" x14ac:dyDescent="0.2">
      <c r="A40" s="8" t="s">
        <v>799</v>
      </c>
      <c r="B40" s="241">
        <f t="shared" si="4"/>
        <v>46.092834530037933</v>
      </c>
      <c r="C40" s="21">
        <f>ASTOR_Ratios!D35</f>
        <v>33.346826653306614</v>
      </c>
      <c r="D40" s="21">
        <f>AKSEN_Ratios!D32</f>
        <v>53.124673735725942</v>
      </c>
      <c r="E40" s="21">
        <f>ENJSA_Ratios!D37</f>
        <v>81.086209188455541</v>
      </c>
      <c r="F40" s="21">
        <f>GWIND_Ratios!D36</f>
        <v>26.165186433333332</v>
      </c>
      <c r="G40" s="242">
        <f>AYDEM_Ratios!D35</f>
        <v>52.190291378723401</v>
      </c>
      <c r="H40" s="242">
        <f>ZOREN_Ratios!D35</f>
        <v>11.5101452</v>
      </c>
      <c r="I40" s="242">
        <f>AYEN_Ratios!D35</f>
        <v>65.226509120720721</v>
      </c>
    </row>
    <row r="41" spans="1:9" ht="15" customHeight="1" x14ac:dyDescent="0.2">
      <c r="A41" s="8" t="s">
        <v>800</v>
      </c>
      <c r="B41" s="247">
        <f t="shared" si="4"/>
        <v>50819197.707142852</v>
      </c>
      <c r="C41" s="23">
        <f>ASTOR_Ratios!D39</f>
        <v>114670200</v>
      </c>
      <c r="D41" s="23">
        <f>AKSEN_Ratios!D38</f>
        <v>88885000</v>
      </c>
      <c r="E41" s="23">
        <f>ENJSA_Ratios!D43</f>
        <v>99859383.950000003</v>
      </c>
      <c r="F41" s="23">
        <f>GWIND_Ratios!D40</f>
        <v>14288400</v>
      </c>
      <c r="G41" s="248">
        <f>AYDEM_Ratios!D39</f>
        <v>15904800</v>
      </c>
      <c r="H41" s="248">
        <f>ZOREN_Ratios!D39</f>
        <v>15400000</v>
      </c>
      <c r="I41" s="248">
        <f>AYEN_Ratios!D39</f>
        <v>6726600</v>
      </c>
    </row>
    <row r="42" spans="1:9" ht="15" customHeight="1" x14ac:dyDescent="0.2">
      <c r="A42" s="8" t="s">
        <v>801</v>
      </c>
      <c r="B42" s="236">
        <f t="shared" si="4"/>
        <v>14.401062478858657</v>
      </c>
      <c r="C42" s="18">
        <f>ASTOR_Ratios!D40</f>
        <v>14.952607345763608</v>
      </c>
      <c r="D42" s="18">
        <f>AKSEN_Ratios!D39</f>
        <v>20.430792400301481</v>
      </c>
      <c r="E42" s="18">
        <f>ENJSA_Ratios!D44</f>
        <v>31.488648423571288</v>
      </c>
      <c r="F42" s="18">
        <f>GWIND_Ratios!D41</f>
        <v>16.900797408941827</v>
      </c>
      <c r="G42" s="237">
        <f>AYDEM_Ratios!D40</f>
        <v>-5.6720349554866987</v>
      </c>
      <c r="H42" s="237">
        <f>ZOREN_Ratios!D40</f>
        <v>-1.0470500791814625</v>
      </c>
      <c r="I42" s="237">
        <f>AYEN_Ratios!D40</f>
        <v>23.753676808100543</v>
      </c>
    </row>
    <row r="43" spans="1:9" ht="15" customHeight="1" x14ac:dyDescent="0.2">
      <c r="A43" s="8" t="s">
        <v>802</v>
      </c>
      <c r="B43" s="236">
        <f t="shared" si="4"/>
        <v>1.1336838052371843</v>
      </c>
      <c r="C43" s="18">
        <f>ASTOR_Ratios!D41</f>
        <v>3.4456052203877912</v>
      </c>
      <c r="D43" s="18">
        <f>AKSEN_Ratios!D40</f>
        <v>1.364714263670749</v>
      </c>
      <c r="E43" s="18">
        <f>ENJSA_Ratios!D45</f>
        <v>1.0427173849438951</v>
      </c>
      <c r="F43" s="18">
        <f>GWIND_Ratios!D42</f>
        <v>1.0112673978997944</v>
      </c>
      <c r="G43" s="237">
        <f>AYDEM_Ratios!D41</f>
        <v>0.43226430441423275</v>
      </c>
      <c r="H43" s="237">
        <f>ZOREN_Ratios!D41</f>
        <v>0.26759002136654192</v>
      </c>
      <c r="I43" s="237">
        <f>AYEN_Ratios!D41</f>
        <v>0.37162804397728527</v>
      </c>
    </row>
    <row r="44" spans="1:9" ht="15" customHeight="1" x14ac:dyDescent="0.2">
      <c r="A44" s="8" t="s">
        <v>262</v>
      </c>
      <c r="B44" s="236">
        <f t="shared" si="4"/>
        <v>6.9771087318038179</v>
      </c>
      <c r="C44" s="18">
        <f>ASTOR_Ratios!D42</f>
        <v>9.6694202656852184</v>
      </c>
      <c r="D44" s="18">
        <f>AKSEN_Ratios!D41</f>
        <v>10.591294599484675</v>
      </c>
      <c r="E44" s="18">
        <f>ENJSA_Ratios!D46</f>
        <v>3.6442283148398138</v>
      </c>
      <c r="F44" s="18">
        <f>GWIND_Ratios!D43</f>
        <v>6.3055156049965051</v>
      </c>
      <c r="G44" s="237">
        <f>AYDEM_Ratios!D42</f>
        <v>7.5294604400640219</v>
      </c>
      <c r="H44" s="237">
        <f>ZOREN_Ratios!D42</f>
        <v>5.1683413365240281</v>
      </c>
      <c r="I44" s="237">
        <f>AYEN_Ratios!D42</f>
        <v>5.9315005610324567</v>
      </c>
    </row>
    <row r="45" spans="1:9" ht="15" customHeight="1" x14ac:dyDescent="0.2">
      <c r="A45" s="8" t="s">
        <v>265</v>
      </c>
      <c r="B45" s="12">
        <f t="shared" si="4"/>
        <v>1.3438694481330853E-2</v>
      </c>
      <c r="C45" s="10">
        <f>ASTOR_Ratios!D43</f>
        <v>1.4173394657025103E-2</v>
      </c>
      <c r="D45" s="10">
        <f>AKSEN_Ratios!D42</f>
        <v>0</v>
      </c>
      <c r="E45" s="10">
        <f>ENJSA_Ratios!D47</f>
        <v>4.0368394441712356E-2</v>
      </c>
      <c r="F45" s="10">
        <f>GWIND_Ratios!D44</f>
        <v>2.7960402214383697E-2</v>
      </c>
      <c r="G45" s="240">
        <f>AYDEM_Ratios!D43</f>
        <v>0</v>
      </c>
      <c r="H45" s="240">
        <f>ZOREN_Ratios!D43</f>
        <v>0</v>
      </c>
      <c r="I45" s="240">
        <f>AYEN_Ratios!D43</f>
        <v>1.1568670056194809E-2</v>
      </c>
    </row>
    <row r="47" spans="1:9" ht="1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6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5" customWidth="1"/>
    <col min="2" max="10" width="16" customWidth="1"/>
    <col min="11" max="11" width="31" customWidth="1"/>
    <col min="12" max="20" width="16" customWidth="1"/>
  </cols>
  <sheetData>
    <row r="1" spans="1:20" ht="21.75" customHeight="1" x14ac:dyDescent="0.2">
      <c r="A1" s="254" t="s">
        <v>803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12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253" t="s">
        <v>13</v>
      </c>
      <c r="B4" s="253"/>
      <c r="C4" s="253"/>
      <c r="D4" s="253"/>
      <c r="E4" s="253"/>
      <c r="F4" s="253"/>
      <c r="G4" s="253"/>
      <c r="H4" s="253"/>
      <c r="I4" s="253"/>
      <c r="J4" s="253"/>
    </row>
    <row r="5" spans="1:20" ht="15" customHeight="1" x14ac:dyDescent="0.2">
      <c r="A5" s="8" t="s">
        <v>14</v>
      </c>
      <c r="B5" s="9">
        <v>1314083.0079999999</v>
      </c>
      <c r="C5" s="9">
        <v>2283542.9619999998</v>
      </c>
      <c r="D5" s="9">
        <v>1744596.487</v>
      </c>
      <c r="E5" s="9">
        <v>2011698.24</v>
      </c>
      <c r="F5" s="9">
        <v>1393347.665</v>
      </c>
      <c r="G5" s="9">
        <v>2131820.8390000002</v>
      </c>
      <c r="H5" s="9">
        <v>1293793.2139999999</v>
      </c>
      <c r="I5" s="9">
        <v>1525592.118</v>
      </c>
      <c r="J5" s="9">
        <v>145525.07800000001</v>
      </c>
      <c r="L5" s="10">
        <f t="shared" ref="L5:T5" si="0">IFERROR(B5/B16,"")</f>
        <v>1.9171335391753148E-2</v>
      </c>
      <c r="M5" s="10">
        <f t="shared" si="0"/>
        <v>3.0920739758530595E-2</v>
      </c>
      <c r="N5" s="10">
        <f t="shared" si="0"/>
        <v>3.0920739753979135E-2</v>
      </c>
      <c r="O5" s="10">
        <f t="shared" si="0"/>
        <v>2.505715178643457E-2</v>
      </c>
      <c r="P5" s="10">
        <f t="shared" si="0"/>
        <v>2.5057151790398982E-2</v>
      </c>
      <c r="Q5" s="10">
        <f t="shared" si="0"/>
        <v>3.5656073653627336E-2</v>
      </c>
      <c r="R5" s="10">
        <f t="shared" si="0"/>
        <v>3.6558462649139208E-2</v>
      </c>
      <c r="S5" s="10">
        <f t="shared" si="0"/>
        <v>6.7709731182689081E-2</v>
      </c>
      <c r="T5" s="10">
        <f t="shared" si="0"/>
        <v>1.1669360911700486E-2</v>
      </c>
    </row>
    <row r="6" spans="1:20" ht="15" customHeight="1" x14ac:dyDescent="0.2">
      <c r="A6" s="8" t="s">
        <v>15</v>
      </c>
      <c r="B6" s="9">
        <v>50817.317000000003</v>
      </c>
      <c r="C6" s="9">
        <v>2131818.9219999998</v>
      </c>
      <c r="D6" s="9">
        <v>1628681.3359999999</v>
      </c>
      <c r="E6" s="9">
        <v>904719.42200000002</v>
      </c>
      <c r="F6" s="9">
        <v>626629.11800000002</v>
      </c>
      <c r="G6" s="9">
        <v>585511.77399999998</v>
      </c>
      <c r="H6" s="9">
        <v>355344.66399999999</v>
      </c>
      <c r="I6" s="9">
        <v>2704.681</v>
      </c>
      <c r="J6" s="9">
        <v>0</v>
      </c>
      <c r="L6" s="10">
        <f t="shared" ref="L6:T6" si="1">IFERROR(B6/B16,"")</f>
        <v>7.4138073621300411E-4</v>
      </c>
      <c r="M6" s="10">
        <f t="shared" si="1"/>
        <v>2.8866292071746551E-2</v>
      </c>
      <c r="N6" s="10">
        <f t="shared" si="1"/>
        <v>2.8866292066893888E-2</v>
      </c>
      <c r="O6" s="10">
        <f t="shared" si="1"/>
        <v>1.1268932601536377E-2</v>
      </c>
      <c r="P6" s="10">
        <f t="shared" si="1"/>
        <v>1.1268932600543624E-2</v>
      </c>
      <c r="Q6" s="10">
        <f t="shared" si="1"/>
        <v>9.7930607285943699E-3</v>
      </c>
      <c r="R6" s="10">
        <f t="shared" si="1"/>
        <v>1.0040904903381971E-2</v>
      </c>
      <c r="S6" s="10">
        <f t="shared" si="1"/>
        <v>1.2004075092168683E-4</v>
      </c>
      <c r="T6" s="10">
        <f t="shared" si="1"/>
        <v>0</v>
      </c>
    </row>
    <row r="7" spans="1:20" ht="15" customHeight="1" x14ac:dyDescent="0.2">
      <c r="A7" s="8" t="s">
        <v>16</v>
      </c>
      <c r="B7" s="9">
        <v>1752584.834</v>
      </c>
      <c r="C7" s="9">
        <v>4138375.1</v>
      </c>
      <c r="D7" s="9">
        <v>3161663.6</v>
      </c>
      <c r="E7" s="9">
        <v>2889128.1639999999</v>
      </c>
      <c r="F7" s="9">
        <v>2001075.46</v>
      </c>
      <c r="G7" s="9">
        <v>2148799.9440000001</v>
      </c>
      <c r="H7" s="9">
        <v>1304097.7620000001</v>
      </c>
      <c r="I7" s="9">
        <v>147835.80100000001</v>
      </c>
      <c r="J7" s="9">
        <v>54936.203999999998</v>
      </c>
      <c r="L7" s="10">
        <f t="shared" ref="L7:T7" si="2">IFERROR(B7/B16,"")</f>
        <v>2.556869805831476E-2</v>
      </c>
      <c r="M7" s="10">
        <f t="shared" si="2"/>
        <v>5.6036440574873246E-2</v>
      </c>
      <c r="N7" s="10">
        <f t="shared" si="2"/>
        <v>5.6036440571617864E-2</v>
      </c>
      <c r="O7" s="10">
        <f t="shared" si="2"/>
        <v>3.59861740177349E-2</v>
      </c>
      <c r="P7" s="10">
        <f t="shared" si="2"/>
        <v>3.5986174021587401E-2</v>
      </c>
      <c r="Q7" s="10">
        <f t="shared" si="2"/>
        <v>3.5940060097223912E-2</v>
      </c>
      <c r="R7" s="10">
        <f t="shared" si="2"/>
        <v>3.6849636253311682E-2</v>
      </c>
      <c r="S7" s="10">
        <f t="shared" si="2"/>
        <v>6.5613359080605302E-3</v>
      </c>
      <c r="T7" s="10">
        <f t="shared" si="2"/>
        <v>4.4052228001197416E-3</v>
      </c>
    </row>
    <row r="8" spans="1:20" ht="15" customHeight="1" x14ac:dyDescent="0.2">
      <c r="A8" s="8" t="s">
        <v>804</v>
      </c>
      <c r="B8" s="9">
        <v>344077.57</v>
      </c>
      <c r="C8" s="9">
        <v>370039.82</v>
      </c>
      <c r="D8" s="9">
        <v>282705.50799999997</v>
      </c>
      <c r="E8" s="9">
        <v>1035665.314</v>
      </c>
      <c r="F8" s="9">
        <v>717325.20200000005</v>
      </c>
      <c r="G8" s="9">
        <v>173599.94899999999</v>
      </c>
      <c r="H8" s="9">
        <v>94586.232999999993</v>
      </c>
      <c r="I8" s="9">
        <v>64345.858</v>
      </c>
      <c r="J8" s="9">
        <v>124856.257</v>
      </c>
      <c r="L8" s="10">
        <f t="shared" ref="L8:T8" si="3">IFERROR(B8/B16,"")</f>
        <v>5.0197943775933994E-3</v>
      </c>
      <c r="M8" s="10">
        <f t="shared" si="3"/>
        <v>5.0105932600857748E-3</v>
      </c>
      <c r="N8" s="10">
        <f t="shared" si="3"/>
        <v>5.0105932833306608E-3</v>
      </c>
      <c r="O8" s="10">
        <f t="shared" si="3"/>
        <v>1.2899958083595788E-2</v>
      </c>
      <c r="P8" s="10">
        <f t="shared" si="3"/>
        <v>1.2899958080162723E-2</v>
      </c>
      <c r="Q8" s="10">
        <f t="shared" si="3"/>
        <v>2.9035707197202928E-3</v>
      </c>
      <c r="R8" s="10">
        <f t="shared" si="3"/>
        <v>2.6727047482050545E-3</v>
      </c>
      <c r="S8" s="10">
        <f t="shared" si="3"/>
        <v>2.855835905609656E-3</v>
      </c>
      <c r="T8" s="10">
        <f t="shared" si="3"/>
        <v>1.0011970067571652E-2</v>
      </c>
    </row>
    <row r="9" spans="1:20" ht="15" customHeight="1" x14ac:dyDescent="0.2">
      <c r="A9" s="6" t="s">
        <v>19</v>
      </c>
      <c r="B9" s="11">
        <f t="shared" ref="B9:J9" si="4">SUM(B5:B8)</f>
        <v>3461562.7289999998</v>
      </c>
      <c r="C9" s="11">
        <f t="shared" si="4"/>
        <v>8923776.8039999995</v>
      </c>
      <c r="D9" s="11">
        <f t="shared" si="4"/>
        <v>6817646.9310000008</v>
      </c>
      <c r="E9" s="11">
        <f t="shared" si="4"/>
        <v>6841211.1399999997</v>
      </c>
      <c r="F9" s="11">
        <f t="shared" si="4"/>
        <v>4738377.4450000003</v>
      </c>
      <c r="G9" s="11">
        <f t="shared" si="4"/>
        <v>5039732.5060000001</v>
      </c>
      <c r="H9" s="11">
        <f t="shared" si="4"/>
        <v>3047821.8730000001</v>
      </c>
      <c r="I9" s="11">
        <f t="shared" si="4"/>
        <v>1740478.4580000001</v>
      </c>
      <c r="J9" s="11">
        <f t="shared" si="4"/>
        <v>325317.53899999999</v>
      </c>
      <c r="L9" s="12">
        <f t="shared" ref="L9:T9" si="5">IFERROR(B9/B16,"")</f>
        <v>5.0501208563874307E-2</v>
      </c>
      <c r="M9" s="12">
        <f t="shared" si="5"/>
        <v>0.12083406566523616</v>
      </c>
      <c r="N9" s="12">
        <f t="shared" si="5"/>
        <v>0.12083406567582157</v>
      </c>
      <c r="O9" s="12">
        <f t="shared" si="5"/>
        <v>8.5212216489301634E-2</v>
      </c>
      <c r="P9" s="12">
        <f t="shared" si="5"/>
        <v>8.5212216492692741E-2</v>
      </c>
      <c r="Q9" s="12">
        <f t="shared" si="5"/>
        <v>8.4292765199165912E-2</v>
      </c>
      <c r="R9" s="12">
        <f t="shared" si="5"/>
        <v>8.6121708554037918E-2</v>
      </c>
      <c r="S9" s="12">
        <f t="shared" si="5"/>
        <v>7.7246943747280944E-2</v>
      </c>
      <c r="T9" s="12">
        <f t="shared" si="5"/>
        <v>2.6086553779391879E-2</v>
      </c>
    </row>
    <row r="10" spans="1:20" ht="15" customHeight="1" x14ac:dyDescent="0.2">
      <c r="A10" s="253" t="s">
        <v>20</v>
      </c>
      <c r="B10" s="253"/>
      <c r="C10" s="253"/>
      <c r="D10" s="253"/>
      <c r="E10" s="253"/>
      <c r="F10" s="253"/>
      <c r="G10" s="253"/>
      <c r="H10" s="253"/>
      <c r="I10" s="253"/>
      <c r="J10" s="253"/>
    </row>
    <row r="11" spans="1:20" ht="15" customHeight="1" x14ac:dyDescent="0.2">
      <c r="A11" s="8" t="s">
        <v>21</v>
      </c>
      <c r="B11" s="9">
        <v>61927423.564000003</v>
      </c>
      <c r="C11" s="9">
        <v>60935249.288000003</v>
      </c>
      <c r="D11" s="9">
        <v>46553720.961000003</v>
      </c>
      <c r="E11" s="9">
        <v>70180914.791999996</v>
      </c>
      <c r="F11" s="9">
        <v>48608887.652000003</v>
      </c>
      <c r="G11" s="9">
        <v>51989813.772</v>
      </c>
      <c r="H11" s="9">
        <v>31516128.533</v>
      </c>
      <c r="I11" s="9">
        <v>20288516.897</v>
      </c>
      <c r="J11" s="9">
        <v>11812559.374</v>
      </c>
      <c r="L11" s="10">
        <f t="shared" ref="L11:T11" si="6">IFERROR(B11/B16,"")</f>
        <v>0.90346758908292746</v>
      </c>
      <c r="M11" s="10">
        <f t="shared" si="6"/>
        <v>0.82510511810350384</v>
      </c>
      <c r="N11" s="10">
        <f t="shared" si="6"/>
        <v>0.82510511808364351</v>
      </c>
      <c r="O11" s="10">
        <f t="shared" si="6"/>
        <v>0.87415388624785739</v>
      </c>
      <c r="P11" s="10">
        <f t="shared" si="6"/>
        <v>0.87415388625107782</v>
      </c>
      <c r="Q11" s="10">
        <f t="shared" si="6"/>
        <v>0.86956304919242833</v>
      </c>
      <c r="R11" s="10">
        <f t="shared" si="6"/>
        <v>0.89054510052419467</v>
      </c>
      <c r="S11" s="10">
        <f t="shared" si="6"/>
        <v>0.90045694978565372</v>
      </c>
      <c r="T11" s="10">
        <f t="shared" si="6"/>
        <v>0.94722518290694024</v>
      </c>
    </row>
    <row r="12" spans="1:20" ht="15" customHeight="1" x14ac:dyDescent="0.2">
      <c r="A12" s="8" t="s">
        <v>805</v>
      </c>
      <c r="B12" s="9">
        <v>2354974.298</v>
      </c>
      <c r="C12" s="9">
        <v>3120760.9210000001</v>
      </c>
      <c r="D12" s="9">
        <v>2384219.8859999999</v>
      </c>
      <c r="E12" s="9">
        <v>2449232.6540000001</v>
      </c>
      <c r="F12" s="9">
        <v>1696393.888</v>
      </c>
      <c r="G12" s="9">
        <v>1738185.808</v>
      </c>
      <c r="H12" s="9">
        <v>293108.11300000001</v>
      </c>
      <c r="I12" s="9">
        <v>298995.00900000002</v>
      </c>
      <c r="J12" s="9">
        <v>304154.44699999999</v>
      </c>
      <c r="L12" s="10">
        <f t="shared" ref="L12:T12" si="7">IFERROR(B12/B16,"")</f>
        <v>3.4357039723563965E-2</v>
      </c>
      <c r="M12" s="10">
        <f t="shared" si="7"/>
        <v>4.2257245820467845E-2</v>
      </c>
      <c r="N12" s="10">
        <f t="shared" si="7"/>
        <v>4.2257245821949084E-2</v>
      </c>
      <c r="O12" s="10">
        <f t="shared" si="7"/>
        <v>3.0506958325702955E-2</v>
      </c>
      <c r="P12" s="10">
        <f t="shared" si="7"/>
        <v>3.0506958324662704E-2</v>
      </c>
      <c r="Q12" s="10">
        <f t="shared" si="7"/>
        <v>2.907227477089961E-2</v>
      </c>
      <c r="R12" s="10">
        <f t="shared" si="7"/>
        <v>8.2822988135337165E-3</v>
      </c>
      <c r="S12" s="10">
        <f t="shared" si="7"/>
        <v>1.3270173230113464E-2</v>
      </c>
      <c r="T12" s="10">
        <f t="shared" si="7"/>
        <v>2.4389528346046834E-2</v>
      </c>
    </row>
    <row r="13" spans="1:20" ht="15" customHeight="1" x14ac:dyDescent="0.2">
      <c r="A13" s="8" t="s">
        <v>806</v>
      </c>
      <c r="B13" s="9">
        <v>800195.62699999998</v>
      </c>
      <c r="C13" s="9">
        <v>871711.36100000003</v>
      </c>
      <c r="D13" s="9">
        <v>665975.9</v>
      </c>
      <c r="E13" s="9">
        <v>813035.15300000005</v>
      </c>
      <c r="F13" s="9">
        <v>563126.52099999995</v>
      </c>
      <c r="G13" s="9">
        <v>1020702.83</v>
      </c>
      <c r="H13" s="9">
        <v>532646.63399999996</v>
      </c>
      <c r="I13" s="9">
        <v>203366.52299999999</v>
      </c>
      <c r="J13" s="9">
        <v>28666.83</v>
      </c>
      <c r="L13" s="10">
        <f t="shared" ref="L13:T13" si="8">IFERROR(B13/B16,"")</f>
        <v>1.167416262963443E-2</v>
      </c>
      <c r="M13" s="10">
        <f t="shared" si="8"/>
        <v>1.1803570410792E-2</v>
      </c>
      <c r="N13" s="10">
        <f t="shared" si="8"/>
        <v>1.1803570418585874E-2</v>
      </c>
      <c r="O13" s="10">
        <f t="shared" si="8"/>
        <v>1.0126938937138034E-2</v>
      </c>
      <c r="P13" s="10">
        <f t="shared" si="8"/>
        <v>1.0126938931566874E-2</v>
      </c>
      <c r="Q13" s="10">
        <f t="shared" si="8"/>
        <v>1.7071910837506293E-2</v>
      </c>
      <c r="R13" s="10">
        <f t="shared" si="8"/>
        <v>1.505089210823355E-2</v>
      </c>
      <c r="S13" s="10">
        <f t="shared" si="8"/>
        <v>9.0259332369519718E-3</v>
      </c>
      <c r="T13" s="10">
        <f t="shared" si="8"/>
        <v>2.2987349676209267E-3</v>
      </c>
    </row>
    <row r="14" spans="1:20" ht="15" customHeight="1" x14ac:dyDescent="0.2">
      <c r="A14" s="6" t="s">
        <v>24</v>
      </c>
      <c r="B14" s="11">
        <f t="shared" ref="B14:J14" si="9">SUM(B11:B13)</f>
        <v>65082593.489</v>
      </c>
      <c r="C14" s="11">
        <f t="shared" si="9"/>
        <v>64927721.570000008</v>
      </c>
      <c r="D14" s="11">
        <f t="shared" si="9"/>
        <v>49603916.747000001</v>
      </c>
      <c r="E14" s="11">
        <f t="shared" si="9"/>
        <v>73443182.598999992</v>
      </c>
      <c r="F14" s="11">
        <f t="shared" si="9"/>
        <v>50868408.060999997</v>
      </c>
      <c r="G14" s="11">
        <f t="shared" si="9"/>
        <v>54748702.409999996</v>
      </c>
      <c r="H14" s="11">
        <f t="shared" si="9"/>
        <v>32341883.280000001</v>
      </c>
      <c r="I14" s="11">
        <f t="shared" si="9"/>
        <v>20790878.428999998</v>
      </c>
      <c r="J14" s="11">
        <f t="shared" si="9"/>
        <v>12145380.651000001</v>
      </c>
      <c r="L14" s="12">
        <f t="shared" ref="L14:T14" si="10">IFERROR(B14/B16,"")</f>
        <v>0.94949879143612581</v>
      </c>
      <c r="M14" s="12">
        <f t="shared" si="10"/>
        <v>0.87916593433476375</v>
      </c>
      <c r="N14" s="12">
        <f t="shared" si="10"/>
        <v>0.87916593432417844</v>
      </c>
      <c r="O14" s="12">
        <f t="shared" si="10"/>
        <v>0.91478778351069834</v>
      </c>
      <c r="P14" s="12">
        <f t="shared" si="10"/>
        <v>0.91478778350730727</v>
      </c>
      <c r="Q14" s="12">
        <f t="shared" si="10"/>
        <v>0.91570723480083416</v>
      </c>
      <c r="R14" s="12">
        <f t="shared" si="10"/>
        <v>0.913878291445962</v>
      </c>
      <c r="S14" s="12">
        <f t="shared" si="10"/>
        <v>0.92275305625271908</v>
      </c>
      <c r="T14" s="12">
        <f t="shared" si="10"/>
        <v>0.97391344622060805</v>
      </c>
    </row>
    <row r="16" spans="1:20" ht="15" customHeight="1" x14ac:dyDescent="0.2">
      <c r="A16" s="6" t="s">
        <v>25</v>
      </c>
      <c r="B16" s="11">
        <f t="shared" ref="B16:J16" si="11">B9+B14</f>
        <v>68544156.217999995</v>
      </c>
      <c r="C16" s="11">
        <f t="shared" si="11"/>
        <v>73851498.374000013</v>
      </c>
      <c r="D16" s="11">
        <f t="shared" si="11"/>
        <v>56421563.678000003</v>
      </c>
      <c r="E16" s="11">
        <f t="shared" si="11"/>
        <v>80284393.738999993</v>
      </c>
      <c r="F16" s="11">
        <f t="shared" si="11"/>
        <v>55606785.505999997</v>
      </c>
      <c r="G16" s="11">
        <f t="shared" si="11"/>
        <v>59788434.915999994</v>
      </c>
      <c r="H16" s="11">
        <f t="shared" si="11"/>
        <v>35389705.153000005</v>
      </c>
      <c r="I16" s="11">
        <f t="shared" si="11"/>
        <v>22531356.886999998</v>
      </c>
      <c r="J16" s="11">
        <f t="shared" si="11"/>
        <v>12470698.190000001</v>
      </c>
      <c r="L16" s="12">
        <f t="shared" ref="L16:T16" si="12">IFERROR(B16/B16,"")</f>
        <v>1</v>
      </c>
      <c r="M16" s="12">
        <f t="shared" si="12"/>
        <v>1</v>
      </c>
      <c r="N16" s="12">
        <f t="shared" si="12"/>
        <v>1</v>
      </c>
      <c r="O16" s="12">
        <f t="shared" si="12"/>
        <v>1</v>
      </c>
      <c r="P16" s="12">
        <f t="shared" si="12"/>
        <v>1</v>
      </c>
      <c r="Q16" s="12">
        <f t="shared" si="12"/>
        <v>1</v>
      </c>
      <c r="R16" s="12">
        <f t="shared" si="12"/>
        <v>1</v>
      </c>
      <c r="S16" s="12">
        <f t="shared" si="12"/>
        <v>1</v>
      </c>
      <c r="T16" s="12">
        <f t="shared" si="12"/>
        <v>1</v>
      </c>
    </row>
    <row r="17" spans="1:20" ht="15" customHeight="1" x14ac:dyDescent="0.2">
      <c r="A17" s="253" t="s">
        <v>26</v>
      </c>
      <c r="B17" s="253"/>
      <c r="C17" s="253"/>
      <c r="D17" s="253"/>
      <c r="E17" s="253"/>
      <c r="F17" s="253"/>
      <c r="G17" s="253"/>
      <c r="H17" s="253"/>
      <c r="I17" s="253"/>
      <c r="J17" s="253"/>
    </row>
    <row r="18" spans="1:20" ht="15" customHeight="1" x14ac:dyDescent="0.2">
      <c r="A18" s="253" t="s">
        <v>27</v>
      </c>
      <c r="B18" s="253"/>
      <c r="C18" s="253"/>
      <c r="D18" s="253"/>
      <c r="E18" s="253"/>
      <c r="F18" s="253"/>
      <c r="G18" s="253"/>
      <c r="H18" s="253"/>
      <c r="I18" s="253"/>
      <c r="J18" s="253"/>
    </row>
    <row r="19" spans="1:20" ht="15" customHeight="1" x14ac:dyDescent="0.2">
      <c r="A19" s="8" t="s">
        <v>807</v>
      </c>
      <c r="B19" s="9">
        <v>2223146.4410000001</v>
      </c>
      <c r="C19" s="9">
        <v>8337902.9460000005</v>
      </c>
      <c r="D19" s="9">
        <v>6370047.0860000001</v>
      </c>
      <c r="E19" s="9">
        <v>2182533.8160000001</v>
      </c>
      <c r="F19" s="9">
        <v>1511672.246</v>
      </c>
      <c r="G19" s="9">
        <v>1666430.1839999999</v>
      </c>
      <c r="H19" s="9">
        <v>1011349.558</v>
      </c>
      <c r="I19" s="9">
        <v>768554.72699999996</v>
      </c>
      <c r="J19" s="9">
        <v>747461.34699999995</v>
      </c>
      <c r="L19" s="10">
        <f t="shared" ref="L19:T19" si="13">IFERROR(B19/B16,"")</f>
        <v>3.2433785222031691E-2</v>
      </c>
      <c r="M19" s="10">
        <f t="shared" si="13"/>
        <v>0.11290093132268016</v>
      </c>
      <c r="N19" s="10">
        <f t="shared" si="13"/>
        <v>0.11290093132395443</v>
      </c>
      <c r="O19" s="10">
        <f t="shared" si="13"/>
        <v>2.7185032038671099E-2</v>
      </c>
      <c r="P19" s="10">
        <f t="shared" si="13"/>
        <v>2.7185032046797418E-2</v>
      </c>
      <c r="Q19" s="10">
        <f t="shared" si="13"/>
        <v>2.7872115842156729E-2</v>
      </c>
      <c r="R19" s="10">
        <f t="shared" si="13"/>
        <v>2.8577507318233965E-2</v>
      </c>
      <c r="S19" s="10">
        <f t="shared" si="13"/>
        <v>3.4110450198560203E-2</v>
      </c>
      <c r="T19" s="10">
        <f t="shared" si="13"/>
        <v>5.9937409727337798E-2</v>
      </c>
    </row>
    <row r="20" spans="1:20" ht="15" customHeight="1" x14ac:dyDescent="0.2">
      <c r="A20" s="8" t="s">
        <v>294</v>
      </c>
      <c r="B20" s="9">
        <v>294388.32299999997</v>
      </c>
      <c r="C20" s="9">
        <v>300333.35100000002</v>
      </c>
      <c r="D20" s="9">
        <v>229450.69</v>
      </c>
      <c r="E20" s="9">
        <v>582137.98699999996</v>
      </c>
      <c r="F20" s="9">
        <v>403201.92599999998</v>
      </c>
      <c r="G20" s="9">
        <v>782958.49</v>
      </c>
      <c r="H20" s="9">
        <v>475174.25599999999</v>
      </c>
      <c r="I20" s="9">
        <v>68147.915999999997</v>
      </c>
      <c r="J20" s="9">
        <v>49644.358999999997</v>
      </c>
      <c r="L20" s="10">
        <f t="shared" ref="L20:T20" si="14">IFERROR(B20/B16,"")</f>
        <v>4.2948712077469893E-3</v>
      </c>
      <c r="M20" s="10">
        <f t="shared" si="14"/>
        <v>4.066719804099935E-3</v>
      </c>
      <c r="N20" s="10">
        <f t="shared" si="14"/>
        <v>4.0667197972300761E-3</v>
      </c>
      <c r="O20" s="10">
        <f t="shared" si="14"/>
        <v>7.2509482838283307E-3</v>
      </c>
      <c r="P20" s="10">
        <f t="shared" si="14"/>
        <v>7.2509482850163006E-3</v>
      </c>
      <c r="Q20" s="10">
        <f t="shared" si="14"/>
        <v>1.3095483952707923E-2</v>
      </c>
      <c r="R20" s="10">
        <f t="shared" si="14"/>
        <v>1.3426906326166981E-2</v>
      </c>
      <c r="S20" s="10">
        <f t="shared" si="14"/>
        <v>3.0245810912222317E-3</v>
      </c>
      <c r="T20" s="10">
        <f t="shared" si="14"/>
        <v>3.9808804802772624E-3</v>
      </c>
    </row>
    <row r="21" spans="1:20" ht="15" customHeight="1" x14ac:dyDescent="0.2">
      <c r="A21" s="8" t="s">
        <v>808</v>
      </c>
      <c r="B21" s="9">
        <v>281898.23999999999</v>
      </c>
      <c r="C21" s="9">
        <v>292977.55599999998</v>
      </c>
      <c r="D21" s="9">
        <v>223830.962</v>
      </c>
      <c r="E21" s="9">
        <v>248106.75099999999</v>
      </c>
      <c r="F21" s="9">
        <v>171844.342</v>
      </c>
      <c r="G21" s="9">
        <v>183921.59400000001</v>
      </c>
      <c r="H21" s="9">
        <v>111621.251</v>
      </c>
      <c r="I21" s="9">
        <v>39930.559999999998</v>
      </c>
      <c r="J21" s="9">
        <v>110360.886</v>
      </c>
      <c r="L21" s="10">
        <f t="shared" ref="L21:T21" si="15">IFERROR(B21/B16,"")</f>
        <v>4.1126516913191245E-3</v>
      </c>
      <c r="M21" s="10">
        <f t="shared" si="15"/>
        <v>3.9671172887555794E-3</v>
      </c>
      <c r="N21" s="10">
        <f t="shared" si="15"/>
        <v>3.9671173113423755E-3</v>
      </c>
      <c r="O21" s="10">
        <f t="shared" si="15"/>
        <v>3.0903484406518775E-3</v>
      </c>
      <c r="P21" s="10">
        <f t="shared" si="15"/>
        <v>3.0903484248600904E-3</v>
      </c>
      <c r="Q21" s="10">
        <f t="shared" si="15"/>
        <v>3.0762068660670147E-3</v>
      </c>
      <c r="R21" s="10">
        <f t="shared" si="15"/>
        <v>3.1540599311983193E-3</v>
      </c>
      <c r="S21" s="10">
        <f t="shared" si="15"/>
        <v>1.772221717505122E-3</v>
      </c>
      <c r="T21" s="10">
        <f t="shared" si="15"/>
        <v>8.8496156605326354E-3</v>
      </c>
    </row>
    <row r="22" spans="1:20" ht="15" customHeight="1" x14ac:dyDescent="0.2">
      <c r="A22" s="6" t="s">
        <v>31</v>
      </c>
      <c r="B22" s="11">
        <f t="shared" ref="B22:J22" si="16">SUM(B19:B21)</f>
        <v>2799433.0039999997</v>
      </c>
      <c r="C22" s="11">
        <f t="shared" si="16"/>
        <v>8931213.8530000001</v>
      </c>
      <c r="D22" s="11">
        <f t="shared" si="16"/>
        <v>6823328.7380000008</v>
      </c>
      <c r="E22" s="11">
        <f t="shared" si="16"/>
        <v>3012778.5540000005</v>
      </c>
      <c r="F22" s="11">
        <f t="shared" si="16"/>
        <v>2086718.514</v>
      </c>
      <c r="G22" s="11">
        <f t="shared" si="16"/>
        <v>2633310.2679999997</v>
      </c>
      <c r="H22" s="11">
        <f t="shared" si="16"/>
        <v>1598145.0649999999</v>
      </c>
      <c r="I22" s="11">
        <f t="shared" si="16"/>
        <v>876633.20299999998</v>
      </c>
      <c r="J22" s="11">
        <f t="shared" si="16"/>
        <v>907466.59199999995</v>
      </c>
      <c r="L22" s="12">
        <f t="shared" ref="L22:T22" si="17">IFERROR(B22/B16,"")</f>
        <v>4.0841308121097805E-2</v>
      </c>
      <c r="M22" s="12">
        <f t="shared" si="17"/>
        <v>0.12093476841553566</v>
      </c>
      <c r="N22" s="12">
        <f t="shared" si="17"/>
        <v>0.1209347684325269</v>
      </c>
      <c r="O22" s="12">
        <f t="shared" si="17"/>
        <v>3.7526328763151311E-2</v>
      </c>
      <c r="P22" s="12">
        <f t="shared" si="17"/>
        <v>3.7526328756673805E-2</v>
      </c>
      <c r="Q22" s="12">
        <f t="shared" si="17"/>
        <v>4.4043806660931661E-2</v>
      </c>
      <c r="R22" s="12">
        <f t="shared" si="17"/>
        <v>4.5158473575599267E-2</v>
      </c>
      <c r="S22" s="12">
        <f t="shared" si="17"/>
        <v>3.8907253007287562E-2</v>
      </c>
      <c r="T22" s="12">
        <f t="shared" si="17"/>
        <v>7.27679058681477E-2</v>
      </c>
    </row>
    <row r="23" spans="1:20" ht="15" customHeight="1" x14ac:dyDescent="0.2">
      <c r="A23" s="253" t="s">
        <v>32</v>
      </c>
      <c r="B23" s="253"/>
      <c r="C23" s="253"/>
      <c r="D23" s="253"/>
      <c r="E23" s="253"/>
      <c r="F23" s="253"/>
      <c r="G23" s="253"/>
      <c r="H23" s="253"/>
      <c r="I23" s="253"/>
      <c r="J23" s="253"/>
    </row>
    <row r="24" spans="1:20" ht="15" customHeight="1" x14ac:dyDescent="0.2">
      <c r="A24" s="8" t="s">
        <v>809</v>
      </c>
      <c r="B24" s="9">
        <v>21031086.721999999</v>
      </c>
      <c r="C24" s="9">
        <v>23562064.921</v>
      </c>
      <c r="D24" s="9">
        <v>18001104.59</v>
      </c>
      <c r="E24" s="9">
        <v>26914314.261</v>
      </c>
      <c r="F24" s="9">
        <v>18641462.311999999</v>
      </c>
      <c r="G24" s="9">
        <v>20112908.460000001</v>
      </c>
      <c r="H24" s="9">
        <v>12206440.616</v>
      </c>
      <c r="I24" s="9">
        <v>9317717.9450000003</v>
      </c>
      <c r="J24" s="9">
        <v>4197862.7410000004</v>
      </c>
      <c r="L24" s="10">
        <f t="shared" ref="L24:T24" si="18">IFERROR(B24/B16,"")</f>
        <v>0.30682537917765107</v>
      </c>
      <c r="M24" s="10">
        <f t="shared" si="18"/>
        <v>0.31904653852351905</v>
      </c>
      <c r="N24" s="10">
        <f t="shared" si="18"/>
        <v>0.31904653853149095</v>
      </c>
      <c r="O24" s="10">
        <f t="shared" si="18"/>
        <v>0.3352371863016978</v>
      </c>
      <c r="P24" s="10">
        <f t="shared" si="18"/>
        <v>0.33523718629606053</v>
      </c>
      <c r="Q24" s="10">
        <f t="shared" si="18"/>
        <v>0.33640132056070232</v>
      </c>
      <c r="R24" s="10">
        <f t="shared" si="18"/>
        <v>0.34491501308722416</v>
      </c>
      <c r="S24" s="10">
        <f t="shared" si="18"/>
        <v>0.41354446568533471</v>
      </c>
      <c r="T24" s="10">
        <f t="shared" si="18"/>
        <v>0.33661810085069505</v>
      </c>
    </row>
    <row r="25" spans="1:20" ht="15" customHeight="1" x14ac:dyDescent="0.2">
      <c r="A25" s="8" t="s">
        <v>810</v>
      </c>
      <c r="B25" s="9">
        <v>7919481.0700000003</v>
      </c>
      <c r="C25" s="9">
        <v>5539432.5530000003</v>
      </c>
      <c r="D25" s="9">
        <v>4232052.8810000001</v>
      </c>
      <c r="E25" s="9">
        <v>9034977.4289999995</v>
      </c>
      <c r="F25" s="9">
        <v>6257829.5559999999</v>
      </c>
      <c r="G25" s="9">
        <v>7719966.9850000003</v>
      </c>
      <c r="H25" s="9">
        <v>4506867.5480000004</v>
      </c>
      <c r="I25" s="9">
        <v>2533745.7990000001</v>
      </c>
      <c r="J25" s="9">
        <v>1472516.8629999999</v>
      </c>
      <c r="L25" s="10">
        <f t="shared" ref="L25:T25" si="19">IFERROR(B25/B16,"")</f>
        <v>0.11553838440745602</v>
      </c>
      <c r="M25" s="10">
        <f t="shared" si="19"/>
        <v>7.5007720560348171E-2</v>
      </c>
      <c r="N25" s="10">
        <f t="shared" si="19"/>
        <v>7.5007720543735473E-2</v>
      </c>
      <c r="O25" s="10">
        <f t="shared" si="19"/>
        <v>0.11253715707653218</v>
      </c>
      <c r="P25" s="10">
        <f t="shared" si="19"/>
        <v>0.11253715709434017</v>
      </c>
      <c r="Q25" s="10">
        <f t="shared" si="19"/>
        <v>0.12912140944726516</v>
      </c>
      <c r="R25" s="10">
        <f t="shared" si="19"/>
        <v>0.12734967778102416</v>
      </c>
      <c r="S25" s="10">
        <f t="shared" si="19"/>
        <v>0.11245420378840588</v>
      </c>
      <c r="T25" s="10">
        <f t="shared" si="19"/>
        <v>0.1180781413009242</v>
      </c>
    </row>
    <row r="26" spans="1:20" ht="15" customHeight="1" x14ac:dyDescent="0.2">
      <c r="A26" s="6" t="s">
        <v>35</v>
      </c>
      <c r="B26" s="11">
        <f t="shared" ref="B26:J26" si="20">SUM(B24:B25)</f>
        <v>28950567.791999999</v>
      </c>
      <c r="C26" s="11">
        <f t="shared" si="20"/>
        <v>29101497.473999999</v>
      </c>
      <c r="D26" s="11">
        <f t="shared" si="20"/>
        <v>22233157.471000001</v>
      </c>
      <c r="E26" s="11">
        <f t="shared" si="20"/>
        <v>35949291.689999998</v>
      </c>
      <c r="F26" s="11">
        <f t="shared" si="20"/>
        <v>24899291.868000001</v>
      </c>
      <c r="G26" s="11">
        <f t="shared" si="20"/>
        <v>27832875.445</v>
      </c>
      <c r="H26" s="11">
        <f t="shared" si="20"/>
        <v>16713308.164000001</v>
      </c>
      <c r="I26" s="11">
        <f t="shared" si="20"/>
        <v>11851463.744000001</v>
      </c>
      <c r="J26" s="11">
        <f t="shared" si="20"/>
        <v>5670379.6040000003</v>
      </c>
      <c r="L26" s="12">
        <f t="shared" ref="L26:T26" si="21">IFERROR(B26/B16,"")</f>
        <v>0.42236376358510713</v>
      </c>
      <c r="M26" s="12">
        <f t="shared" si="21"/>
        <v>0.39405425908386721</v>
      </c>
      <c r="N26" s="12">
        <f t="shared" si="21"/>
        <v>0.39405425907522645</v>
      </c>
      <c r="O26" s="12">
        <f t="shared" si="21"/>
        <v>0.44777434337822997</v>
      </c>
      <c r="P26" s="12">
        <f t="shared" si="21"/>
        <v>0.44777434339040073</v>
      </c>
      <c r="Q26" s="12">
        <f t="shared" si="21"/>
        <v>0.46552273000796746</v>
      </c>
      <c r="R26" s="12">
        <f t="shared" si="21"/>
        <v>0.47226469086824829</v>
      </c>
      <c r="S26" s="12">
        <f t="shared" si="21"/>
        <v>0.52599866947374063</v>
      </c>
      <c r="T26" s="12">
        <f t="shared" si="21"/>
        <v>0.45469624215161925</v>
      </c>
    </row>
    <row r="27" spans="1:20" ht="15" customHeight="1" x14ac:dyDescent="0.2">
      <c r="A27" s="6" t="s">
        <v>36</v>
      </c>
      <c r="B27" s="11">
        <f t="shared" ref="B27:J27" si="22">B22+B26</f>
        <v>31750000.796</v>
      </c>
      <c r="C27" s="11">
        <f t="shared" si="22"/>
        <v>38032711.327</v>
      </c>
      <c r="D27" s="11">
        <f t="shared" si="22"/>
        <v>29056486.209000003</v>
      </c>
      <c r="E27" s="11">
        <f t="shared" si="22"/>
        <v>38962070.243999995</v>
      </c>
      <c r="F27" s="11">
        <f t="shared" si="22"/>
        <v>26986010.381999999</v>
      </c>
      <c r="G27" s="11">
        <f t="shared" si="22"/>
        <v>30466185.713</v>
      </c>
      <c r="H27" s="11">
        <f t="shared" si="22"/>
        <v>18311453.229000002</v>
      </c>
      <c r="I27" s="11">
        <f t="shared" si="22"/>
        <v>12728096.947000001</v>
      </c>
      <c r="J27" s="11">
        <f t="shared" si="22"/>
        <v>6577846.1960000005</v>
      </c>
      <c r="L27" s="12">
        <f t="shared" ref="L27:T27" si="23">IFERROR(B27/B16,"")</f>
        <v>0.46320507170620495</v>
      </c>
      <c r="M27" s="12">
        <f t="shared" si="23"/>
        <v>0.5149890274994029</v>
      </c>
      <c r="N27" s="12">
        <f t="shared" si="23"/>
        <v>0.51498902750775333</v>
      </c>
      <c r="O27" s="12">
        <f t="shared" si="23"/>
        <v>0.48530067214138123</v>
      </c>
      <c r="P27" s="12">
        <f t="shared" si="23"/>
        <v>0.48530067214707451</v>
      </c>
      <c r="Q27" s="12">
        <f t="shared" si="23"/>
        <v>0.50956653666889917</v>
      </c>
      <c r="R27" s="12">
        <f t="shared" si="23"/>
        <v>0.51742316444384762</v>
      </c>
      <c r="S27" s="12">
        <f t="shared" si="23"/>
        <v>0.56490592248102811</v>
      </c>
      <c r="T27" s="12">
        <f t="shared" si="23"/>
        <v>0.52746414801976693</v>
      </c>
    </row>
    <row r="28" spans="1:20" ht="15" customHeight="1" x14ac:dyDescent="0.2">
      <c r="A28" s="253" t="s">
        <v>37</v>
      </c>
      <c r="B28" s="253"/>
      <c r="C28" s="253"/>
      <c r="D28" s="253"/>
      <c r="E28" s="253"/>
      <c r="F28" s="253"/>
      <c r="G28" s="253"/>
      <c r="H28" s="253"/>
      <c r="I28" s="253"/>
      <c r="J28" s="253"/>
    </row>
    <row r="29" spans="1:20" ht="15" customHeight="1" x14ac:dyDescent="0.2">
      <c r="A29" s="8" t="s">
        <v>38</v>
      </c>
      <c r="B29" s="9">
        <v>705000</v>
      </c>
      <c r="C29" s="9">
        <v>705000</v>
      </c>
      <c r="D29" s="9">
        <v>705000</v>
      </c>
      <c r="E29" s="9">
        <v>705000</v>
      </c>
      <c r="F29" s="9">
        <v>705000</v>
      </c>
      <c r="G29" s="9">
        <v>705000</v>
      </c>
      <c r="H29" s="9">
        <v>705000</v>
      </c>
      <c r="I29" s="9">
        <v>705000</v>
      </c>
      <c r="J29" s="9">
        <v>700000</v>
      </c>
      <c r="L29" s="10">
        <f t="shared" ref="L29:T29" si="24">IFERROR(B29/B16,"")</f>
        <v>1.028534070443286E-2</v>
      </c>
      <c r="M29" s="10">
        <f t="shared" si="24"/>
        <v>9.5461841062415148E-3</v>
      </c>
      <c r="N29" s="10">
        <f t="shared" si="24"/>
        <v>1.2495222642595687E-2</v>
      </c>
      <c r="O29" s="10">
        <f t="shared" si="24"/>
        <v>8.7812832253789577E-3</v>
      </c>
      <c r="P29" s="10">
        <f t="shared" si="24"/>
        <v>1.2678308835599393E-2</v>
      </c>
      <c r="Q29" s="10">
        <f t="shared" si="24"/>
        <v>1.1791578103532777E-2</v>
      </c>
      <c r="R29" s="10">
        <f t="shared" si="24"/>
        <v>1.9921047574487542E-2</v>
      </c>
      <c r="S29" s="10">
        <f t="shared" si="24"/>
        <v>3.1289726736642591E-2</v>
      </c>
      <c r="T29" s="10">
        <f t="shared" si="24"/>
        <v>5.6131580552668314E-2</v>
      </c>
    </row>
    <row r="30" spans="1:20" ht="15" customHeight="1" x14ac:dyDescent="0.2">
      <c r="A30" s="8" t="s">
        <v>811</v>
      </c>
      <c r="B30" s="9">
        <v>8805594.2960000001</v>
      </c>
      <c r="C30" s="9">
        <v>8805594.2960000001</v>
      </c>
      <c r="D30" s="9">
        <v>6560967.699</v>
      </c>
      <c r="E30" s="9">
        <v>6560967.699</v>
      </c>
      <c r="F30" s="9">
        <v>4327573.4369999999</v>
      </c>
      <c r="G30" s="9">
        <v>4327573.4369999999</v>
      </c>
      <c r="H30" s="9">
        <v>0</v>
      </c>
      <c r="I30" s="9">
        <v>0</v>
      </c>
      <c r="J30" s="9">
        <v>0</v>
      </c>
      <c r="L30" s="10">
        <f t="shared" ref="L30:T30" si="25">IFERROR(B30/B16,"")</f>
        <v>0.12846601055229873</v>
      </c>
      <c r="M30" s="10">
        <f t="shared" si="25"/>
        <v>0.11923379335388105</v>
      </c>
      <c r="N30" s="10">
        <f t="shared" si="25"/>
        <v>0.1162847548225301</v>
      </c>
      <c r="O30" s="10">
        <f t="shared" si="25"/>
        <v>8.1721582407775703E-2</v>
      </c>
      <c r="P30" s="10">
        <f t="shared" si="25"/>
        <v>7.7824556798613234E-2</v>
      </c>
      <c r="Q30" s="10">
        <f t="shared" si="25"/>
        <v>7.2381447065474155E-2</v>
      </c>
      <c r="R30" s="10">
        <f t="shared" si="25"/>
        <v>0</v>
      </c>
      <c r="S30" s="10">
        <f t="shared" si="25"/>
        <v>0</v>
      </c>
      <c r="T30" s="10">
        <f t="shared" si="25"/>
        <v>0</v>
      </c>
    </row>
    <row r="31" spans="1:20" ht="15" customHeight="1" x14ac:dyDescent="0.2">
      <c r="A31" s="8" t="s">
        <v>812</v>
      </c>
      <c r="B31" s="9">
        <v>-18226216.436000001</v>
      </c>
      <c r="C31" s="9">
        <v>-21988878.963</v>
      </c>
      <c r="D31" s="9">
        <v>-16799211.416999999</v>
      </c>
      <c r="E31" s="9">
        <v>-14917645.812000001</v>
      </c>
      <c r="F31" s="9">
        <v>-10332298.624</v>
      </c>
      <c r="G31" s="9">
        <v>-10977952.734999999</v>
      </c>
      <c r="H31" s="9">
        <v>16050062.301000001</v>
      </c>
      <c r="I31" s="9">
        <v>10321418.301999999</v>
      </c>
      <c r="J31" s="9">
        <v>6533419.8650000002</v>
      </c>
      <c r="L31" s="10">
        <f t="shared" ref="L31:T31" si="26">IFERROR(B31/B16,"")</f>
        <v>-0.26590474581133899</v>
      </c>
      <c r="M31" s="10">
        <f t="shared" si="26"/>
        <v>-0.29774452038391347</v>
      </c>
      <c r="N31" s="10">
        <f t="shared" si="26"/>
        <v>-0.29774452039070975</v>
      </c>
      <c r="O31" s="10">
        <f t="shared" si="26"/>
        <v>-0.18581003252632661</v>
      </c>
      <c r="P31" s="10">
        <f t="shared" si="26"/>
        <v>-0.18581003253434134</v>
      </c>
      <c r="Q31" s="10">
        <f t="shared" si="26"/>
        <v>-0.18361331502360814</v>
      </c>
      <c r="R31" s="10">
        <f t="shared" si="26"/>
        <v>0.453523481803844</v>
      </c>
      <c r="S31" s="10">
        <f t="shared" si="26"/>
        <v>0.45809128823285322</v>
      </c>
      <c r="T31" s="10">
        <f t="shared" si="26"/>
        <v>0.52390169062378689</v>
      </c>
    </row>
    <row r="32" spans="1:20" ht="15" customHeight="1" x14ac:dyDescent="0.2">
      <c r="A32" s="8" t="s">
        <v>41</v>
      </c>
      <c r="B32" s="9">
        <v>45509777.561999999</v>
      </c>
      <c r="C32" s="9">
        <v>48297071.714000002</v>
      </c>
      <c r="D32" s="9">
        <v>36898321.186999999</v>
      </c>
      <c r="E32" s="9">
        <v>48974001.608000003</v>
      </c>
      <c r="F32" s="9">
        <v>33920500.310999997</v>
      </c>
      <c r="G32" s="9">
        <v>35267628.501000002</v>
      </c>
      <c r="H32" s="9">
        <v>323189.62300000002</v>
      </c>
      <c r="I32" s="9">
        <v>-1223158.362</v>
      </c>
      <c r="J32" s="9">
        <v>-1340567.871</v>
      </c>
      <c r="L32" s="10">
        <f t="shared" ref="L32:T32" si="27">IFERROR(B32/B16,"")</f>
        <v>0.66394832284840255</v>
      </c>
      <c r="M32" s="10">
        <f t="shared" si="27"/>
        <v>0.65397551542438792</v>
      </c>
      <c r="N32" s="10">
        <f t="shared" si="27"/>
        <v>0.6539755154178305</v>
      </c>
      <c r="O32" s="10">
        <f t="shared" si="27"/>
        <v>0.61000649475179081</v>
      </c>
      <c r="P32" s="10">
        <f t="shared" si="27"/>
        <v>0.61000649475305424</v>
      </c>
      <c r="Q32" s="10">
        <f t="shared" si="27"/>
        <v>0.58987375318570223</v>
      </c>
      <c r="R32" s="10">
        <f t="shared" si="27"/>
        <v>9.1323061778208411E-3</v>
      </c>
      <c r="S32" s="10">
        <f t="shared" si="27"/>
        <v>-5.428693745052391E-2</v>
      </c>
      <c r="T32" s="10">
        <f t="shared" si="27"/>
        <v>-0.10749741919622223</v>
      </c>
    </row>
    <row r="33" spans="1:20" ht="15" customHeight="1" x14ac:dyDescent="0.2">
      <c r="A33" s="6" t="s">
        <v>42</v>
      </c>
      <c r="B33" s="11">
        <f t="shared" ref="B33:J33" si="28">SUM(B29:B32)</f>
        <v>36794155.421999998</v>
      </c>
      <c r="C33" s="11">
        <f t="shared" si="28"/>
        <v>35818787.047000006</v>
      </c>
      <c r="D33" s="11">
        <f t="shared" si="28"/>
        <v>27365077.469000001</v>
      </c>
      <c r="E33" s="11">
        <f t="shared" si="28"/>
        <v>41322323.495000005</v>
      </c>
      <c r="F33" s="11">
        <f t="shared" si="28"/>
        <v>28620775.123999998</v>
      </c>
      <c r="G33" s="11">
        <f t="shared" si="28"/>
        <v>29322249.203000002</v>
      </c>
      <c r="H33" s="11">
        <f t="shared" si="28"/>
        <v>17078251.924000002</v>
      </c>
      <c r="I33" s="11">
        <f t="shared" si="28"/>
        <v>9803259.9399999995</v>
      </c>
      <c r="J33" s="11">
        <f t="shared" si="28"/>
        <v>5892851.9939999999</v>
      </c>
      <c r="L33" s="12">
        <f t="shared" ref="L33:T33" si="29">IFERROR(B33/B16,"")</f>
        <v>0.53679492829379516</v>
      </c>
      <c r="M33" s="12">
        <f t="shared" si="29"/>
        <v>0.48501097250059705</v>
      </c>
      <c r="N33" s="12">
        <f t="shared" si="29"/>
        <v>0.48501097249224662</v>
      </c>
      <c r="O33" s="12">
        <f t="shared" si="29"/>
        <v>0.51469932785861883</v>
      </c>
      <c r="P33" s="12">
        <f t="shared" si="29"/>
        <v>0.51469932785292549</v>
      </c>
      <c r="Q33" s="12">
        <f t="shared" si="29"/>
        <v>0.49043346333110099</v>
      </c>
      <c r="R33" s="12">
        <f t="shared" si="29"/>
        <v>0.48257683555615238</v>
      </c>
      <c r="S33" s="12">
        <f t="shared" si="29"/>
        <v>0.43509407751897194</v>
      </c>
      <c r="T33" s="12">
        <f t="shared" si="29"/>
        <v>0.47253585198023296</v>
      </c>
    </row>
    <row r="34" spans="1:20" ht="15" customHeight="1" x14ac:dyDescent="0.2">
      <c r="A34" s="6" t="s">
        <v>43</v>
      </c>
      <c r="B34" s="11">
        <f t="shared" ref="B34:J34" si="30">B27+B33</f>
        <v>68544156.217999995</v>
      </c>
      <c r="C34" s="11">
        <f t="shared" si="30"/>
        <v>73851498.374000013</v>
      </c>
      <c r="D34" s="11">
        <f t="shared" si="30"/>
        <v>56421563.678000003</v>
      </c>
      <c r="E34" s="11">
        <f t="shared" si="30"/>
        <v>80284393.738999993</v>
      </c>
      <c r="F34" s="11">
        <f t="shared" si="30"/>
        <v>55606785.505999997</v>
      </c>
      <c r="G34" s="11">
        <f t="shared" si="30"/>
        <v>59788434.916000001</v>
      </c>
      <c r="H34" s="11">
        <f t="shared" si="30"/>
        <v>35389705.153000005</v>
      </c>
      <c r="I34" s="11">
        <f t="shared" si="30"/>
        <v>22531356.887000002</v>
      </c>
      <c r="J34" s="11">
        <f t="shared" si="30"/>
        <v>12470698.190000001</v>
      </c>
      <c r="L34" s="12">
        <f t="shared" ref="L34:T34" si="31">IFERROR(B34/B16,"")</f>
        <v>1</v>
      </c>
      <c r="M34" s="12">
        <f t="shared" si="31"/>
        <v>1</v>
      </c>
      <c r="N34" s="12">
        <f t="shared" si="31"/>
        <v>1</v>
      </c>
      <c r="O34" s="12">
        <f t="shared" si="31"/>
        <v>1</v>
      </c>
      <c r="P34" s="12">
        <f t="shared" si="31"/>
        <v>1</v>
      </c>
      <c r="Q34" s="12">
        <f t="shared" si="31"/>
        <v>1.0000000000000002</v>
      </c>
      <c r="R34" s="12">
        <f t="shared" si="31"/>
        <v>1</v>
      </c>
      <c r="S34" s="12">
        <f t="shared" si="31"/>
        <v>1.0000000000000002</v>
      </c>
      <c r="T34" s="12">
        <f t="shared" si="31"/>
        <v>1</v>
      </c>
    </row>
    <row r="39" spans="1:20" ht="18" customHeight="1" x14ac:dyDescent="0.2">
      <c r="L39" s="263" t="s">
        <v>44</v>
      </c>
      <c r="M39" s="263"/>
      <c r="N39" s="263"/>
      <c r="O39" s="263"/>
      <c r="P39" s="263"/>
      <c r="Q39" s="263"/>
      <c r="R39" s="263"/>
      <c r="S39" s="263"/>
      <c r="T39" s="263"/>
    </row>
    <row r="40" spans="1:20" ht="21.75" customHeight="1" x14ac:dyDescent="0.2">
      <c r="K40" s="249" t="s">
        <v>45</v>
      </c>
      <c r="L40" s="7" t="s">
        <v>46</v>
      </c>
      <c r="M40" s="7" t="s">
        <v>47</v>
      </c>
      <c r="N40" s="7" t="s">
        <v>48</v>
      </c>
      <c r="O40" s="7" t="s">
        <v>49</v>
      </c>
      <c r="P40" s="7" t="s">
        <v>50</v>
      </c>
    </row>
    <row r="41" spans="1:20" ht="15" customHeight="1" x14ac:dyDescent="0.2">
      <c r="K41" s="8" t="s">
        <v>51</v>
      </c>
      <c r="L41" s="10">
        <f>IFERROR((B5-C5)/ABS(C5),"-")</f>
        <v>-0.42454202532319163</v>
      </c>
      <c r="M41" s="10">
        <f>IFERROR((D5-E5)/ABS(E5),"-")</f>
        <v>-0.13277426389755156</v>
      </c>
      <c r="N41" s="10">
        <f>IFERROR((F5-G5)/ABS(G5),"-")</f>
        <v>-0.34640489505037625</v>
      </c>
      <c r="O41" s="10">
        <f t="shared" ref="O41:P45" si="32">IFERROR((H5-I5)/ABS(I5),"-")</f>
        <v>-0.1519402868336005</v>
      </c>
      <c r="P41" s="10">
        <f t="shared" si="32"/>
        <v>9.4833623109276051</v>
      </c>
    </row>
    <row r="42" spans="1:20" ht="15" customHeight="1" x14ac:dyDescent="0.2">
      <c r="K42" s="8" t="s">
        <v>52</v>
      </c>
      <c r="L42" s="10">
        <f>IFERROR((B6-C6)/ABS(C6),"-")</f>
        <v>-0.97616246085651359</v>
      </c>
      <c r="M42" s="10">
        <f>IFERROR((D6-E6)/ABS(E6),"-")</f>
        <v>0.80020600464129288</v>
      </c>
      <c r="N42" s="10">
        <f>IFERROR((F6-G6)/ABS(G6),"-")</f>
        <v>7.0224623698173561E-2</v>
      </c>
      <c r="O42" s="10">
        <f t="shared" si="32"/>
        <v>130.38135846704287</v>
      </c>
      <c r="P42" s="10" t="str">
        <f t="shared" si="32"/>
        <v>-</v>
      </c>
    </row>
    <row r="43" spans="1:20" ht="15" customHeight="1" x14ac:dyDescent="0.2">
      <c r="K43" s="8" t="s">
        <v>53</v>
      </c>
      <c r="L43" s="10">
        <f>IFERROR((B7-C7)/ABS(C7),"-")</f>
        <v>-0.5765041129307007</v>
      </c>
      <c r="M43" s="10">
        <f>IFERROR((D7-E7)/ABS(E7),"-")</f>
        <v>9.4331376294042535E-2</v>
      </c>
      <c r="N43" s="10">
        <f>IFERROR((F7-G7)/ABS(G7),"-")</f>
        <v>-6.874743477748349E-2</v>
      </c>
      <c r="O43" s="10">
        <f t="shared" si="32"/>
        <v>7.8212581335423623</v>
      </c>
      <c r="P43" s="10">
        <f t="shared" si="32"/>
        <v>1.69104507111558</v>
      </c>
    </row>
    <row r="44" spans="1:20" ht="15" customHeight="1" x14ac:dyDescent="0.2">
      <c r="K44" s="8" t="s">
        <v>55</v>
      </c>
      <c r="L44" s="10">
        <f>IFERROR((B8-C8)/ABS(C8),"-")</f>
        <v>-7.0160692435749211E-2</v>
      </c>
      <c r="M44" s="10">
        <f>IFERROR((D8-E8)/ABS(E8),"-")</f>
        <v>-0.72703005094558959</v>
      </c>
      <c r="N44" s="10">
        <f>IFERROR((F8-G8)/ABS(G8),"-")</f>
        <v>3.1320588291186655</v>
      </c>
      <c r="O44" s="10">
        <f t="shared" si="32"/>
        <v>0.46996614762678263</v>
      </c>
      <c r="P44" s="10">
        <f t="shared" si="32"/>
        <v>-0.48464050143678422</v>
      </c>
    </row>
    <row r="45" spans="1:20" ht="15" customHeight="1" x14ac:dyDescent="0.2">
      <c r="K45" s="8" t="s">
        <v>56</v>
      </c>
      <c r="L45" s="10">
        <f>IFERROR((B9-C9)/ABS(C9),"-")</f>
        <v>-0.61209667105878451</v>
      </c>
      <c r="M45" s="10">
        <f>IFERROR((D9-E9)/ABS(E9),"-")</f>
        <v>-3.4444498960455807E-3</v>
      </c>
      <c r="N45" s="10">
        <f>IFERROR((F9-G9)/ABS(G9),"-")</f>
        <v>-5.9795844450320462E-2</v>
      </c>
      <c r="O45" s="10">
        <f t="shared" si="32"/>
        <v>0.75114024479353825</v>
      </c>
      <c r="P45" s="10">
        <f t="shared" si="32"/>
        <v>4.3500910628738039</v>
      </c>
    </row>
    <row r="46" spans="1:20" ht="15" customHeight="1" x14ac:dyDescent="0.2">
      <c r="K46" s="8" t="s">
        <v>57</v>
      </c>
      <c r="L46" s="10">
        <f>IFERROR((B11-C11)/ABS(C11),"-")</f>
        <v>1.6282435660690563E-2</v>
      </c>
      <c r="M46" s="10">
        <f>IFERROR((D11-E11)/ABS(E11),"-")</f>
        <v>-0.33666124046723434</v>
      </c>
      <c r="N46" s="10">
        <f>IFERROR((F11-G11)/ABS(G11),"-")</f>
        <v>-6.5030548769167792E-2</v>
      </c>
      <c r="O46" s="10">
        <f t="shared" ref="O46:P49" si="33">IFERROR((H11-I11)/ABS(I11),"-")</f>
        <v>0.55339735738200713</v>
      </c>
      <c r="P46" s="10">
        <f t="shared" si="33"/>
        <v>0.71753777099787386</v>
      </c>
    </row>
    <row r="47" spans="1:20" ht="15" customHeight="1" x14ac:dyDescent="0.2">
      <c r="K47" s="8" t="s">
        <v>58</v>
      </c>
      <c r="L47" s="10">
        <f>IFERROR((B12-C12)/ABS(C12),"-")</f>
        <v>-0.24538458484497286</v>
      </c>
      <c r="M47" s="10">
        <f>IFERROR((D12-E12)/ABS(E12),"-")</f>
        <v>-2.6544137362297372E-2</v>
      </c>
      <c r="N47" s="10">
        <f>IFERROR((F12-G12)/ABS(G12),"-")</f>
        <v>-2.4043413430055994E-2</v>
      </c>
      <c r="O47" s="10">
        <f t="shared" si="33"/>
        <v>-1.9688944038527438E-2</v>
      </c>
      <c r="P47" s="10">
        <f t="shared" si="33"/>
        <v>-1.6963217374888376E-2</v>
      </c>
    </row>
    <row r="48" spans="1:20" ht="15" customHeight="1" x14ac:dyDescent="0.2">
      <c r="K48" s="8" t="s">
        <v>59</v>
      </c>
      <c r="L48" s="10">
        <f>IFERROR((B13-C13)/ABS(C13),"-")</f>
        <v>-8.2040612523346532E-2</v>
      </c>
      <c r="M48" s="10">
        <f>IFERROR((D13-E13)/ABS(E13),"-")</f>
        <v>-0.18087686917025594</v>
      </c>
      <c r="N48" s="10">
        <f>IFERROR((F13-G13)/ABS(G13),"-")</f>
        <v>-0.4482953270542025</v>
      </c>
      <c r="O48" s="10">
        <f t="shared" si="33"/>
        <v>1.6191460922012224</v>
      </c>
      <c r="P48" s="10">
        <f t="shared" si="33"/>
        <v>6.0941406147802164</v>
      </c>
    </row>
    <row r="49" spans="11:16" ht="15" customHeight="1" x14ac:dyDescent="0.2">
      <c r="K49" s="8" t="s">
        <v>60</v>
      </c>
      <c r="L49" s="10">
        <f>IFERROR((B14-C14)/ABS(C14),"-")</f>
        <v>2.3852973006764371E-3</v>
      </c>
      <c r="M49" s="10">
        <f>IFERROR((D14-E14)/ABS(E14),"-")</f>
        <v>-0.32459467316609164</v>
      </c>
      <c r="N49" s="10">
        <f>IFERROR((F14-G14)/ABS(G14),"-")</f>
        <v>-7.0874635894407123E-2</v>
      </c>
      <c r="O49" s="10">
        <f t="shared" si="33"/>
        <v>0.55558041428822813</v>
      </c>
      <c r="P49" s="10">
        <f t="shared" si="33"/>
        <v>0.71183423775920618</v>
      </c>
    </row>
    <row r="50" spans="11:16" ht="15" customHeight="1" x14ac:dyDescent="0.2">
      <c r="K50" s="8" t="s">
        <v>61</v>
      </c>
      <c r="L50" s="10">
        <f>IFERROR((B16-C16)/ABS(C16),"-")</f>
        <v>-7.1865057214174397E-2</v>
      </c>
      <c r="M50" s="10">
        <f>IFERROR((D16-E16)/ABS(E16),"-")</f>
        <v>-0.29722875081521694</v>
      </c>
      <c r="N50" s="10">
        <f>IFERROR((F16-G16)/ABS(G16),"-")</f>
        <v>-6.9940773928520147E-2</v>
      </c>
      <c r="O50" s="10">
        <f>IFERROR((H16-I16)/ABS(I16),"-")</f>
        <v>0.57068681351449968</v>
      </c>
      <c r="P50" s="10">
        <f>IFERROR((I16-J16)/ABS(J16),"-")</f>
        <v>0.80674382009079759</v>
      </c>
    </row>
    <row r="51" spans="11:16" ht="15" customHeight="1" x14ac:dyDescent="0.2">
      <c r="K51" s="8" t="s">
        <v>62</v>
      </c>
      <c r="L51" s="10">
        <f>IFERROR((B19-C19)/ABS(C19),"-")</f>
        <v>-0.73336863532736074</v>
      </c>
      <c r="M51" s="10">
        <f>IFERROR((D19-E19)/ABS(E19),"-")</f>
        <v>1.9186476009222118</v>
      </c>
      <c r="N51" s="10">
        <f>IFERROR((F19-G19)/ABS(G19),"-")</f>
        <v>-9.2867939794830226E-2</v>
      </c>
      <c r="O51" s="10">
        <f>IFERROR((H19-I19)/ABS(I19),"-")</f>
        <v>0.31591092016014627</v>
      </c>
      <c r="P51" s="10">
        <f>IFERROR((I19-J19)/ABS(J19),"-")</f>
        <v>2.8220027811016703E-2</v>
      </c>
    </row>
    <row r="52" spans="11:16" ht="15" customHeight="1" x14ac:dyDescent="0.2">
      <c r="K52" s="8" t="s">
        <v>63</v>
      </c>
      <c r="L52" s="10">
        <f>IFERROR((B20-C20)/ABS(C20),"-")</f>
        <v>-1.9794764651362508E-2</v>
      </c>
      <c r="M52" s="10">
        <f>IFERROR((D20-E20)/ABS(E20),"-")</f>
        <v>-0.60584827803034258</v>
      </c>
      <c r="N52" s="10">
        <f>IFERROR((F20-G20)/ABS(G20),"-")</f>
        <v>-0.48502771072831719</v>
      </c>
      <c r="O52" s="10">
        <f>IFERROR((H20-I20)/ABS(I20),"-")</f>
        <v>5.9726894656617233</v>
      </c>
      <c r="P52" s="10">
        <f>IFERROR((I20-J20)/ABS(J20),"-")</f>
        <v>0.37272224624755457</v>
      </c>
    </row>
    <row r="53" spans="11:16" ht="15" customHeight="1" x14ac:dyDescent="0.2">
      <c r="K53" s="8" t="s">
        <v>64</v>
      </c>
      <c r="L53" s="10">
        <f>IFERROR((B22-C22)/ABS(C22),"-")</f>
        <v>-0.68655626770602196</v>
      </c>
      <c r="M53" s="10">
        <f>IFERROR((D22-E22)/ABS(E22),"-")</f>
        <v>1.2647959734514227</v>
      </c>
      <c r="N53" s="10">
        <f>IFERROR((F22-G22)/ABS(G22),"-")</f>
        <v>-0.20756830694893252</v>
      </c>
      <c r="O53" s="10">
        <f>IFERROR((H22-I22)/ABS(I22),"-")</f>
        <v>0.82304875007112865</v>
      </c>
      <c r="P53" s="10">
        <f>IFERROR((I22-J22)/ABS(J22),"-")</f>
        <v>-3.3977437044866957E-2</v>
      </c>
    </row>
    <row r="54" spans="11:16" ht="15" customHeight="1" x14ac:dyDescent="0.2">
      <c r="K54" s="8" t="s">
        <v>65</v>
      </c>
      <c r="L54" s="10">
        <f>IFERROR((B24-C24)/ABS(C24),"-")</f>
        <v>-0.1074175038344892</v>
      </c>
      <c r="M54" s="10">
        <f>IFERROR((D24-E24)/ABS(E24),"-")</f>
        <v>-0.33116985944968419</v>
      </c>
      <c r="N54" s="10">
        <f>IFERROR((F24-G24)/ABS(G24),"-")</f>
        <v>-7.3159292248874574E-2</v>
      </c>
      <c r="O54" s="10">
        <f>IFERROR((H24-I24)/ABS(I24),"-")</f>
        <v>0.31002469575183089</v>
      </c>
      <c r="P54" s="10">
        <f>IFERROR((I24-J24)/ABS(J24),"-")</f>
        <v>1.2196337803032515</v>
      </c>
    </row>
    <row r="55" spans="11:16" ht="15" customHeight="1" x14ac:dyDescent="0.2">
      <c r="K55" s="8" t="s">
        <v>66</v>
      </c>
      <c r="L55" s="10">
        <f>IFERROR((B26-C26)/ABS(C26),"-")</f>
        <v>-5.1863201244143654E-3</v>
      </c>
      <c r="M55" s="10">
        <f>IFERROR((D26-E26)/ABS(E26),"-")</f>
        <v>-0.38154115350248774</v>
      </c>
      <c r="N55" s="10">
        <f>IFERROR((F26-G26)/ABS(G26),"-")</f>
        <v>-0.10539994629002658</v>
      </c>
      <c r="O55" s="10">
        <f>IFERROR((H26-I26)/ABS(I26),"-")</f>
        <v>0.41023155662619215</v>
      </c>
      <c r="P55" s="10">
        <f>IFERROR((I26-J26)/ABS(J26),"-")</f>
        <v>1.090065316903958</v>
      </c>
    </row>
    <row r="56" spans="11:16" ht="15" customHeight="1" x14ac:dyDescent="0.2">
      <c r="K56" s="8" t="s">
        <v>67</v>
      </c>
      <c r="L56" s="10">
        <f>IFERROR((B27-C27)/ABS(C27),"-")</f>
        <v>-0.16519228610819045</v>
      </c>
      <c r="M56" s="10">
        <f>IFERROR((D27-E27)/ABS(E27),"-")</f>
        <v>-0.2542365940250676</v>
      </c>
      <c r="N56" s="10">
        <f>IFERROR((F27-G27)/ABS(G27),"-")</f>
        <v>-0.11423075286759643</v>
      </c>
      <c r="O56" s="10">
        <f>IFERROR((H27-I27)/ABS(I27),"-")</f>
        <v>0.43866387137442359</v>
      </c>
      <c r="P56" s="10">
        <f>IFERROR((I27-J27)/ABS(J27),"-")</f>
        <v>0.93499461187462518</v>
      </c>
    </row>
    <row r="57" spans="11:16" ht="15" customHeight="1" x14ac:dyDescent="0.2">
      <c r="K57" s="8" t="s">
        <v>68</v>
      </c>
      <c r="L57" s="10">
        <f>IFERROR((B29-C29)/ABS(C29),"-")</f>
        <v>0</v>
      </c>
      <c r="M57" s="10">
        <f>IFERROR((D29-E29)/ABS(E29),"-")</f>
        <v>0</v>
      </c>
      <c r="N57" s="10">
        <f>IFERROR((F29-G29)/ABS(G29),"-")</f>
        <v>0</v>
      </c>
      <c r="O57" s="10">
        <f>IFERROR((H29-I29)/ABS(I29),"-")</f>
        <v>0</v>
      </c>
      <c r="P57" s="10">
        <f>IFERROR((I29-J29)/ABS(J29),"-")</f>
        <v>7.1428571428571426E-3</v>
      </c>
    </row>
    <row r="58" spans="11:16" ht="15" customHeight="1" x14ac:dyDescent="0.2">
      <c r="K58" s="8" t="s">
        <v>69</v>
      </c>
      <c r="L58" s="10">
        <f>IFERROR((B30-C30)/ABS(C30),"-")</f>
        <v>0</v>
      </c>
      <c r="M58" s="10">
        <f>IFERROR((D30-E30)/ABS(E30),"-")</f>
        <v>0</v>
      </c>
      <c r="N58" s="10">
        <f>IFERROR((F30-G30)/ABS(G30),"-")</f>
        <v>0</v>
      </c>
      <c r="O58" s="10" t="str">
        <f>IFERROR((H30-I30)/ABS(I30),"-")</f>
        <v>-</v>
      </c>
      <c r="P58" s="10" t="str">
        <f>IFERROR((I30-J30)/ABS(J30),"-")</f>
        <v>-</v>
      </c>
    </row>
    <row r="59" spans="11:16" ht="15" customHeight="1" x14ac:dyDescent="0.2">
      <c r="K59" s="8" t="s">
        <v>70</v>
      </c>
      <c r="L59" s="10">
        <f>IFERROR((B33-C33)/ABS(C33),"-")</f>
        <v>2.7230636641049639E-2</v>
      </c>
      <c r="M59" s="10">
        <f>IFERROR((D33-E33)/ABS(E33),"-")</f>
        <v>-0.33776527662315092</v>
      </c>
      <c r="N59" s="10">
        <f>IFERROR((F33-G33)/ABS(G33),"-")</f>
        <v>-2.3922928767968959E-2</v>
      </c>
      <c r="O59" s="10">
        <f>IFERROR((H33-I33)/ABS(I33),"-")</f>
        <v>0.74209926376796687</v>
      </c>
      <c r="P59" s="10">
        <f>IFERROR((I33-J33)/ABS(J33),"-")</f>
        <v>0.66358495851949262</v>
      </c>
    </row>
    <row r="60" spans="11:16" ht="15" customHeight="1" x14ac:dyDescent="0.2">
      <c r="K60" s="8" t="s">
        <v>71</v>
      </c>
      <c r="L60" s="10">
        <f>IFERROR((B34-C34)/ABS(C34),"-")</f>
        <v>-7.1865057214174397E-2</v>
      </c>
      <c r="M60" s="10">
        <f>IFERROR((D34-E34)/ABS(E34),"-")</f>
        <v>-0.29722875081521694</v>
      </c>
      <c r="N60" s="10">
        <f>IFERROR((F34-G34)/ABS(G34),"-")</f>
        <v>-6.9940773928520272E-2</v>
      </c>
      <c r="O60" s="10">
        <f>IFERROR((H34-I34)/ABS(I34),"-")</f>
        <v>0.57068681351449946</v>
      </c>
      <c r="P60" s="10">
        <f>IFERROR((I34-J34)/ABS(J34),"-")</f>
        <v>0.80674382009079793</v>
      </c>
    </row>
  </sheetData>
  <mergeCells count="10">
    <mergeCell ref="A1:J1"/>
    <mergeCell ref="L1:T1"/>
    <mergeCell ref="A3:J3"/>
    <mergeCell ref="A4:J4"/>
    <mergeCell ref="A10:J10"/>
    <mergeCell ref="A17:J17"/>
    <mergeCell ref="A18:J18"/>
    <mergeCell ref="A23:J23"/>
    <mergeCell ref="A28:J28"/>
    <mergeCell ref="L39:T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4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79" customWidth="1"/>
    <col min="2" max="10" width="16" customWidth="1"/>
    <col min="11" max="11" width="34" customWidth="1"/>
    <col min="12" max="20" width="16" customWidth="1"/>
  </cols>
  <sheetData>
    <row r="1" spans="1:20" ht="21.75" customHeight="1" x14ac:dyDescent="0.2">
      <c r="A1" s="254" t="s">
        <v>813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73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74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8" t="s">
        <v>75</v>
      </c>
      <c r="B4" s="9">
        <v>12920463.716</v>
      </c>
      <c r="C4" s="9">
        <v>8617397.9910000004</v>
      </c>
      <c r="D4" s="9">
        <v>6583577.5870000003</v>
      </c>
      <c r="E4" s="9">
        <v>9180783.4969999995</v>
      </c>
      <c r="F4" s="9">
        <v>6358818.1330000004</v>
      </c>
      <c r="G4" s="9">
        <v>7565576.7180000003</v>
      </c>
      <c r="H4" s="9">
        <v>3807844.798</v>
      </c>
      <c r="I4" s="9">
        <v>1240753.398</v>
      </c>
      <c r="J4" s="9">
        <v>1340375.223</v>
      </c>
      <c r="L4" s="10">
        <f t="shared" ref="L4:T4" si="0">IFERROR(B4/B4,"")</f>
        <v>1</v>
      </c>
      <c r="M4" s="10">
        <f t="shared" si="0"/>
        <v>1</v>
      </c>
      <c r="N4" s="10">
        <f t="shared" si="0"/>
        <v>1</v>
      </c>
      <c r="O4" s="10">
        <f t="shared" si="0"/>
        <v>1</v>
      </c>
      <c r="P4" s="10">
        <f t="shared" si="0"/>
        <v>1</v>
      </c>
      <c r="Q4" s="10">
        <f t="shared" si="0"/>
        <v>1</v>
      </c>
      <c r="R4" s="10">
        <f t="shared" si="0"/>
        <v>1</v>
      </c>
      <c r="S4" s="10">
        <f t="shared" si="0"/>
        <v>1</v>
      </c>
      <c r="T4" s="10">
        <f t="shared" si="0"/>
        <v>1</v>
      </c>
    </row>
    <row r="5" spans="1:20" ht="15" customHeight="1" x14ac:dyDescent="0.2">
      <c r="A5" s="8" t="s">
        <v>76</v>
      </c>
      <c r="B5" s="9">
        <v>-10110178.105</v>
      </c>
      <c r="C5" s="9">
        <v>-6514571.9960000003</v>
      </c>
      <c r="D5" s="9">
        <v>-4977046.4620000003</v>
      </c>
      <c r="E5" s="9">
        <v>-5213430.2690000003</v>
      </c>
      <c r="F5" s="9">
        <v>-3610939.6260000002</v>
      </c>
      <c r="G5" s="9">
        <v>-3376715.1979999999</v>
      </c>
      <c r="H5" s="9">
        <v>-1405210.503</v>
      </c>
      <c r="I5" s="9">
        <v>-725768.45400000003</v>
      </c>
      <c r="J5" s="9">
        <v>-576226.25</v>
      </c>
      <c r="L5" s="10">
        <f t="shared" ref="L5:T5" si="1">IFERROR(B5/B4,"")</f>
        <v>-0.78249344042351243</v>
      </c>
      <c r="M5" s="10">
        <f t="shared" si="1"/>
        <v>-0.75597900930232198</v>
      </c>
      <c r="N5" s="10">
        <f t="shared" si="1"/>
        <v>-0.75597900931975448</v>
      </c>
      <c r="O5" s="10">
        <f t="shared" si="1"/>
        <v>-0.56786332786342153</v>
      </c>
      <c r="P5" s="10">
        <f t="shared" si="1"/>
        <v>-0.56786332781881432</v>
      </c>
      <c r="Q5" s="10">
        <f t="shared" si="1"/>
        <v>-0.44632621198145117</v>
      </c>
      <c r="R5" s="10">
        <f t="shared" si="1"/>
        <v>-0.36903040369136392</v>
      </c>
      <c r="S5" s="10">
        <f t="shared" si="1"/>
        <v>-0.58494174198505799</v>
      </c>
      <c r="T5" s="10">
        <f t="shared" si="1"/>
        <v>-0.42989921039446133</v>
      </c>
    </row>
    <row r="6" spans="1:20" ht="15" customHeight="1" x14ac:dyDescent="0.2">
      <c r="A6" s="6" t="s">
        <v>77</v>
      </c>
      <c r="B6" s="11">
        <f t="shared" ref="B6:J6" si="2">B4+B5</f>
        <v>2810285.6109999996</v>
      </c>
      <c r="C6" s="11">
        <f t="shared" si="2"/>
        <v>2102825.9950000001</v>
      </c>
      <c r="D6" s="11">
        <f t="shared" si="2"/>
        <v>1606531.125</v>
      </c>
      <c r="E6" s="11">
        <f t="shared" si="2"/>
        <v>3967353.2279999992</v>
      </c>
      <c r="F6" s="11">
        <f t="shared" si="2"/>
        <v>2747878.5070000002</v>
      </c>
      <c r="G6" s="11">
        <f t="shared" si="2"/>
        <v>4188861.5200000005</v>
      </c>
      <c r="H6" s="11">
        <f t="shared" si="2"/>
        <v>2402634.2949999999</v>
      </c>
      <c r="I6" s="11">
        <f t="shared" si="2"/>
        <v>514984.94400000002</v>
      </c>
      <c r="J6" s="11">
        <f t="shared" si="2"/>
        <v>764148.973</v>
      </c>
      <c r="L6" s="12">
        <f t="shared" ref="L6:T6" si="3">IFERROR(B6/B4,"")</f>
        <v>0.21750655957648754</v>
      </c>
      <c r="M6" s="12">
        <f t="shared" si="3"/>
        <v>0.24402099069767799</v>
      </c>
      <c r="N6" s="12">
        <f t="shared" si="3"/>
        <v>0.24402099068024546</v>
      </c>
      <c r="O6" s="12">
        <f t="shared" si="3"/>
        <v>0.43213667213657847</v>
      </c>
      <c r="P6" s="12">
        <f t="shared" si="3"/>
        <v>0.43213667218118568</v>
      </c>
      <c r="Q6" s="12">
        <f t="shared" si="3"/>
        <v>0.55367378801854883</v>
      </c>
      <c r="R6" s="12">
        <f t="shared" si="3"/>
        <v>0.63096959630863614</v>
      </c>
      <c r="S6" s="12">
        <f t="shared" si="3"/>
        <v>0.41505825801494201</v>
      </c>
      <c r="T6" s="12">
        <f t="shared" si="3"/>
        <v>0.57010078960553867</v>
      </c>
    </row>
    <row r="7" spans="1:20" ht="15" customHeight="1" x14ac:dyDescent="0.2">
      <c r="A7" s="8" t="s">
        <v>78</v>
      </c>
      <c r="B7" s="9">
        <v>-856998.39</v>
      </c>
      <c r="C7" s="9">
        <v>-842520.95</v>
      </c>
      <c r="D7" s="9">
        <v>-643674.81299999997</v>
      </c>
      <c r="E7" s="9">
        <v>-911791.45799999998</v>
      </c>
      <c r="F7" s="9">
        <v>-631527.37</v>
      </c>
      <c r="G7" s="9">
        <v>-348782.24099999998</v>
      </c>
      <c r="H7" s="9">
        <v>-163515.386</v>
      </c>
      <c r="I7" s="9">
        <v>-100007.917</v>
      </c>
      <c r="J7" s="9">
        <v>-117677.78200000001</v>
      </c>
      <c r="L7" s="10">
        <f t="shared" ref="L7:T7" si="4">IFERROR(B7/B4,"")</f>
        <v>-6.6328764109196775E-2</v>
      </c>
      <c r="M7" s="10">
        <f t="shared" si="4"/>
        <v>-9.7769761925807275E-2</v>
      </c>
      <c r="N7" s="10">
        <f t="shared" si="4"/>
        <v>-9.7769761880076703E-2</v>
      </c>
      <c r="O7" s="10">
        <f t="shared" si="4"/>
        <v>-9.9315211855060703E-2</v>
      </c>
      <c r="P7" s="10">
        <f t="shared" si="4"/>
        <v>-9.9315211850862339E-2</v>
      </c>
      <c r="Q7" s="10">
        <f t="shared" si="4"/>
        <v>-4.6101209993704539E-2</v>
      </c>
      <c r="R7" s="10">
        <f t="shared" si="4"/>
        <v>-4.2941714979004245E-2</v>
      </c>
      <c r="S7" s="10">
        <f t="shared" si="4"/>
        <v>-8.0602573534116567E-2</v>
      </c>
      <c r="T7" s="10">
        <f t="shared" si="4"/>
        <v>-8.7794656287823666E-2</v>
      </c>
    </row>
    <row r="8" spans="1:20" ht="15" customHeight="1" x14ac:dyDescent="0.2">
      <c r="A8" s="8" t="s">
        <v>79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-84.584000000000003</v>
      </c>
      <c r="L8" s="10">
        <f t="shared" ref="L8:T8" si="5">IFERROR(B8/B4,"")</f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P8" s="10">
        <f t="shared" si="5"/>
        <v>0</v>
      </c>
      <c r="Q8" s="10">
        <f t="shared" si="5"/>
        <v>0</v>
      </c>
      <c r="R8" s="10">
        <f t="shared" si="5"/>
        <v>0</v>
      </c>
      <c r="S8" s="10">
        <f t="shared" si="5"/>
        <v>0</v>
      </c>
      <c r="T8" s="10">
        <f t="shared" si="5"/>
        <v>-6.3104717655617249E-5</v>
      </c>
    </row>
    <row r="9" spans="1:20" ht="15" customHeight="1" x14ac:dyDescent="0.2">
      <c r="A9" s="8" t="s">
        <v>814</v>
      </c>
      <c r="B9" s="9">
        <v>2992231.35</v>
      </c>
      <c r="C9" s="9">
        <v>1478711.4350000001</v>
      </c>
      <c r="D9" s="9">
        <v>1062214.3089999999</v>
      </c>
      <c r="E9" s="9">
        <v>1961265.851</v>
      </c>
      <c r="F9" s="9">
        <v>1358417.0519999999</v>
      </c>
      <c r="G9" s="9">
        <v>908911.255</v>
      </c>
      <c r="H9" s="9">
        <v>476666.41700000002</v>
      </c>
      <c r="I9" s="9">
        <v>47764.322</v>
      </c>
      <c r="J9" s="9">
        <v>53441.961000000003</v>
      </c>
      <c r="L9" s="10">
        <f t="shared" ref="L9:T9" si="6">IFERROR(B9/B4,"")</f>
        <v>0.23158854169410215</v>
      </c>
      <c r="M9" s="10">
        <f t="shared" si="6"/>
        <v>0.17159604750115573</v>
      </c>
      <c r="N9" s="10">
        <f t="shared" si="6"/>
        <v>0.16134302284178426</v>
      </c>
      <c r="O9" s="10">
        <f t="shared" si="6"/>
        <v>0.21362728482170198</v>
      </c>
      <c r="P9" s="10">
        <f t="shared" si="6"/>
        <v>0.21362728475442622</v>
      </c>
      <c r="Q9" s="10">
        <f t="shared" si="6"/>
        <v>0.12013773554599225</v>
      </c>
      <c r="R9" s="10">
        <f t="shared" si="6"/>
        <v>0.12518010640831798</v>
      </c>
      <c r="S9" s="10">
        <f t="shared" si="6"/>
        <v>3.8496225016987622E-2</v>
      </c>
      <c r="T9" s="10">
        <f t="shared" si="6"/>
        <v>3.987089591255448E-2</v>
      </c>
    </row>
    <row r="10" spans="1:20" ht="15" customHeight="1" x14ac:dyDescent="0.2">
      <c r="A10" s="8" t="s">
        <v>815</v>
      </c>
      <c r="B10" s="9">
        <v>-2737844.48</v>
      </c>
      <c r="C10" s="9">
        <v>-25092801.197000001</v>
      </c>
      <c r="D10" s="9">
        <v>-19103065.186000001</v>
      </c>
      <c r="E10" s="9">
        <v>-5450659.0279999999</v>
      </c>
      <c r="F10" s="9">
        <v>-3775249.6260000002</v>
      </c>
      <c r="G10" s="9">
        <v>-4974681.4890000001</v>
      </c>
      <c r="H10" s="9">
        <v>-10000.096</v>
      </c>
      <c r="I10" s="9">
        <v>-7779.3040000000001</v>
      </c>
      <c r="J10" s="9">
        <v>-34469.341999999997</v>
      </c>
      <c r="L10" s="10">
        <f t="shared" ref="L10:T10" si="7">IFERROR(B10/B4,"")</f>
        <v>-0.21189986212411263</v>
      </c>
      <c r="M10" s="10">
        <f t="shared" si="7"/>
        <v>-2.9118767896303375</v>
      </c>
      <c r="N10" s="10">
        <f t="shared" si="7"/>
        <v>-2.9016237651275061</v>
      </c>
      <c r="O10" s="10">
        <f t="shared" si="7"/>
        <v>-0.59370303523453194</v>
      </c>
      <c r="P10" s="10">
        <f t="shared" si="7"/>
        <v>-0.59370303522407719</v>
      </c>
      <c r="Q10" s="10">
        <f t="shared" si="7"/>
        <v>-0.65754160911014903</v>
      </c>
      <c r="R10" s="10">
        <f t="shared" si="7"/>
        <v>-2.6261826651265735E-3</v>
      </c>
      <c r="S10" s="10">
        <f t="shared" si="7"/>
        <v>-6.2698228451678198E-3</v>
      </c>
      <c r="T10" s="10">
        <f t="shared" si="7"/>
        <v>-2.5716188578039686E-2</v>
      </c>
    </row>
    <row r="11" spans="1:20" ht="15" customHeight="1" x14ac:dyDescent="0.2">
      <c r="A11" s="6" t="s">
        <v>82</v>
      </c>
      <c r="B11" s="11">
        <f t="shared" ref="B11:J11" si="8">B6+B7+B8+B9+B10</f>
        <v>2207674.0909999995</v>
      </c>
      <c r="C11" s="11">
        <f t="shared" si="8"/>
        <v>-22353784.717</v>
      </c>
      <c r="D11" s="11">
        <f t="shared" si="8"/>
        <v>-17077994.565000001</v>
      </c>
      <c r="E11" s="11">
        <f t="shared" si="8"/>
        <v>-433831.40700000059</v>
      </c>
      <c r="F11" s="11">
        <f t="shared" si="8"/>
        <v>-300481.43699999992</v>
      </c>
      <c r="G11" s="11">
        <f t="shared" si="8"/>
        <v>-225690.95499999914</v>
      </c>
      <c r="H11" s="11">
        <f t="shared" si="8"/>
        <v>2705785.23</v>
      </c>
      <c r="I11" s="11">
        <f t="shared" si="8"/>
        <v>454962.04499999998</v>
      </c>
      <c r="J11" s="11">
        <f t="shared" si="8"/>
        <v>665359.22600000002</v>
      </c>
      <c r="L11" s="12">
        <f t="shared" ref="L11:T11" si="9">IFERROR(B11/B4,"")</f>
        <v>0.17086647503728028</v>
      </c>
      <c r="M11" s="12">
        <f t="shared" si="9"/>
        <v>-2.5940295133573108</v>
      </c>
      <c r="N11" s="12">
        <f t="shared" si="9"/>
        <v>-2.5940295134855531</v>
      </c>
      <c r="O11" s="12">
        <f t="shared" si="9"/>
        <v>-4.725429013131216E-2</v>
      </c>
      <c r="P11" s="12">
        <f t="shared" si="9"/>
        <v>-4.7254290139327672E-2</v>
      </c>
      <c r="Q11" s="12">
        <f t="shared" si="9"/>
        <v>-2.9831295539312398E-2</v>
      </c>
      <c r="R11" s="12">
        <f t="shared" si="9"/>
        <v>0.7105818050728232</v>
      </c>
      <c r="S11" s="12">
        <f t="shared" si="9"/>
        <v>0.36668208665264518</v>
      </c>
      <c r="T11" s="12">
        <f t="shared" si="9"/>
        <v>0.4963977359345742</v>
      </c>
    </row>
    <row r="12" spans="1:20" ht="15" customHeight="1" x14ac:dyDescent="0.2">
      <c r="A12" s="8" t="s">
        <v>83</v>
      </c>
      <c r="B12" s="9">
        <v>2811826.727</v>
      </c>
      <c r="C12" s="9">
        <v>3938279.3360000001</v>
      </c>
      <c r="D12" s="9">
        <v>3008793.094</v>
      </c>
      <c r="E12" s="9">
        <v>3074825.8259999999</v>
      </c>
      <c r="F12" s="9">
        <v>2129693.8569999998</v>
      </c>
      <c r="G12" s="9">
        <v>2147502.9810000001</v>
      </c>
      <c r="H12" s="9">
        <v>771380.21200000006</v>
      </c>
      <c r="I12" s="9">
        <v>454696.53899999999</v>
      </c>
      <c r="J12" s="9">
        <v>355963.16899999999</v>
      </c>
      <c r="L12" s="10">
        <f t="shared" ref="L12:T12" si="10">IFERROR(B12/B4,"")</f>
        <v>0.21762583671962071</v>
      </c>
      <c r="M12" s="10">
        <f t="shared" si="10"/>
        <v>0.45701490636885217</v>
      </c>
      <c r="N12" s="10">
        <f t="shared" si="10"/>
        <v>0.45701490629368352</v>
      </c>
      <c r="O12" s="10">
        <f t="shared" si="10"/>
        <v>0.3349197622408544</v>
      </c>
      <c r="P12" s="10">
        <f t="shared" si="10"/>
        <v>0.3349197622035528</v>
      </c>
      <c r="Q12" s="10">
        <f t="shared" si="10"/>
        <v>0.28385185439870919</v>
      </c>
      <c r="R12" s="10">
        <f t="shared" si="10"/>
        <v>0.20257658936234829</v>
      </c>
      <c r="S12" s="10">
        <f t="shared" si="10"/>
        <v>0.36646809892516607</v>
      </c>
      <c r="T12" s="10">
        <f t="shared" si="10"/>
        <v>0.26556979187013813</v>
      </c>
    </row>
    <row r="13" spans="1:20" ht="15" customHeight="1" x14ac:dyDescent="0.2">
      <c r="A13" s="6" t="s">
        <v>84</v>
      </c>
      <c r="B13" s="11">
        <f t="shared" ref="B13:J13" si="11">B11+B12</f>
        <v>5019500.818</v>
      </c>
      <c r="C13" s="11">
        <f t="shared" si="11"/>
        <v>-18415505.381000001</v>
      </c>
      <c r="D13" s="11">
        <f t="shared" si="11"/>
        <v>-14069201.471000001</v>
      </c>
      <c r="E13" s="11">
        <f t="shared" si="11"/>
        <v>2640994.4189999993</v>
      </c>
      <c r="F13" s="11">
        <f t="shared" si="11"/>
        <v>1829212.42</v>
      </c>
      <c r="G13" s="11">
        <f t="shared" si="11"/>
        <v>1921812.026000001</v>
      </c>
      <c r="H13" s="11">
        <f t="shared" si="11"/>
        <v>3477165.4419999998</v>
      </c>
      <c r="I13" s="11">
        <f t="shared" si="11"/>
        <v>909658.58400000003</v>
      </c>
      <c r="J13" s="11">
        <f t="shared" si="11"/>
        <v>1021322.395</v>
      </c>
      <c r="L13" s="12">
        <f t="shared" ref="L13:T13" si="12">IFERROR(B13/B4,"")</f>
        <v>0.38849231175690102</v>
      </c>
      <c r="M13" s="12">
        <f t="shared" si="12"/>
        <v>-2.1370146069884588</v>
      </c>
      <c r="N13" s="12">
        <f t="shared" si="12"/>
        <v>-2.1370146071918694</v>
      </c>
      <c r="O13" s="12">
        <f t="shared" si="12"/>
        <v>0.28766547210954224</v>
      </c>
      <c r="P13" s="12">
        <f t="shared" si="12"/>
        <v>0.28766547206422516</v>
      </c>
      <c r="Q13" s="12">
        <f t="shared" si="12"/>
        <v>0.25402055885939678</v>
      </c>
      <c r="R13" s="12">
        <f t="shared" si="12"/>
        <v>0.91315839443517144</v>
      </c>
      <c r="S13" s="12">
        <f t="shared" si="12"/>
        <v>0.73315018557781131</v>
      </c>
      <c r="T13" s="12">
        <f t="shared" si="12"/>
        <v>0.76196752780471233</v>
      </c>
    </row>
    <row r="14" spans="1:20" ht="15" customHeight="1" x14ac:dyDescent="0.2">
      <c r="A14" s="8" t="s">
        <v>816</v>
      </c>
      <c r="B14" s="9">
        <v>-9944857.9759999998</v>
      </c>
      <c r="C14" s="9">
        <v>-8037513.7479999997</v>
      </c>
      <c r="D14" s="9">
        <v>-6140553.7300000004</v>
      </c>
      <c r="E14" s="9">
        <v>-17541749.763</v>
      </c>
      <c r="F14" s="9">
        <v>-12149812.323999999</v>
      </c>
      <c r="G14" s="9">
        <v>-2946059.034</v>
      </c>
      <c r="H14" s="9">
        <v>-1281452.8130000001</v>
      </c>
      <c r="I14" s="9">
        <v>-469294.853</v>
      </c>
      <c r="J14" s="9">
        <v>-1379865.473</v>
      </c>
      <c r="L14" s="10">
        <f t="shared" ref="L14:T14" si="13">IFERROR(B14/B4,"")</f>
        <v>-0.76969822404166721</v>
      </c>
      <c r="M14" s="10">
        <f t="shared" si="13"/>
        <v>-0.93270773340100677</v>
      </c>
      <c r="N14" s="10">
        <f t="shared" si="13"/>
        <v>-0.93270773357713599</v>
      </c>
      <c r="O14" s="10">
        <f t="shared" si="13"/>
        <v>-1.9107029120915562</v>
      </c>
      <c r="P14" s="10">
        <f t="shared" si="13"/>
        <v>-1.9107029120626682</v>
      </c>
      <c r="Q14" s="10">
        <f t="shared" si="13"/>
        <v>-0.38940310088862679</v>
      </c>
      <c r="R14" s="10">
        <f t="shared" si="13"/>
        <v>-0.33652968568284597</v>
      </c>
      <c r="S14" s="10">
        <f t="shared" si="13"/>
        <v>-0.37823378421245313</v>
      </c>
      <c r="T14" s="10">
        <f t="shared" si="13"/>
        <v>-1.0294620859311423</v>
      </c>
    </row>
    <row r="15" spans="1:20" ht="15" customHeight="1" x14ac:dyDescent="0.2">
      <c r="A15" s="8" t="s">
        <v>86</v>
      </c>
      <c r="B15" s="9">
        <v>5999251.8499999996</v>
      </c>
      <c r="C15" s="9">
        <v>9594991.4049999993</v>
      </c>
      <c r="D15" s="9">
        <v>7330445.9689999996</v>
      </c>
      <c r="E15" s="9">
        <v>13686945.664000001</v>
      </c>
      <c r="F15" s="9">
        <v>14307132.498</v>
      </c>
      <c r="G15" s="9">
        <v>13270544.543</v>
      </c>
      <c r="H15" s="9">
        <v>0</v>
      </c>
      <c r="I15" s="9">
        <v>0</v>
      </c>
      <c r="J15" s="9">
        <v>0</v>
      </c>
      <c r="L15" s="10">
        <f t="shared" ref="L15:T15" si="14">IFERROR(B15/B4,"")</f>
        <v>0.46432171335854239</v>
      </c>
      <c r="M15" s="10">
        <f t="shared" si="14"/>
        <v>1.1134441527501684</v>
      </c>
      <c r="N15" s="10">
        <f t="shared" si="14"/>
        <v>1.1134441528379302</v>
      </c>
      <c r="O15" s="10">
        <f t="shared" si="14"/>
        <v>1.4908254473566964</v>
      </c>
      <c r="P15" s="10">
        <f t="shared" si="14"/>
        <v>2.2499672421438004</v>
      </c>
      <c r="Q15" s="10">
        <f t="shared" si="14"/>
        <v>1.7540691262077555</v>
      </c>
      <c r="R15" s="10">
        <f t="shared" si="14"/>
        <v>0</v>
      </c>
      <c r="S15" s="10">
        <f t="shared" si="14"/>
        <v>0</v>
      </c>
      <c r="T15" s="10">
        <f t="shared" si="14"/>
        <v>0</v>
      </c>
    </row>
    <row r="16" spans="1:20" ht="15" customHeight="1" x14ac:dyDescent="0.2">
      <c r="A16" s="6" t="s">
        <v>87</v>
      </c>
      <c r="B16" s="11">
        <f t="shared" ref="B16:J16" si="15">B11+B14+B15</f>
        <v>-1737932.0350000001</v>
      </c>
      <c r="C16" s="11">
        <f t="shared" si="15"/>
        <v>-20796307.060000002</v>
      </c>
      <c r="D16" s="11">
        <f t="shared" si="15"/>
        <v>-15888102.326000001</v>
      </c>
      <c r="E16" s="11">
        <f t="shared" si="15"/>
        <v>-4288635.506000001</v>
      </c>
      <c r="F16" s="11">
        <f t="shared" si="15"/>
        <v>1856838.7369999997</v>
      </c>
      <c r="G16" s="11">
        <f t="shared" si="15"/>
        <v>10098794.554000001</v>
      </c>
      <c r="H16" s="11">
        <f t="shared" si="15"/>
        <v>1424332.4169999999</v>
      </c>
      <c r="I16" s="11">
        <f t="shared" si="15"/>
        <v>-14332.808000000019</v>
      </c>
      <c r="J16" s="11">
        <f t="shared" si="15"/>
        <v>-714506.24699999997</v>
      </c>
      <c r="L16" s="12">
        <f t="shared" ref="L16:T16" si="16">IFERROR(B16/B4,"")</f>
        <v>-0.13451003564584446</v>
      </c>
      <c r="M16" s="12">
        <f t="shared" si="16"/>
        <v>-2.4132930940081496</v>
      </c>
      <c r="N16" s="12">
        <f t="shared" si="16"/>
        <v>-2.4132930942247586</v>
      </c>
      <c r="O16" s="12">
        <f t="shared" si="16"/>
        <v>-0.46713175486617198</v>
      </c>
      <c r="P16" s="12">
        <f t="shared" si="16"/>
        <v>0.2920100399418043</v>
      </c>
      <c r="Q16" s="12">
        <f t="shared" si="16"/>
        <v>1.3348347297798164</v>
      </c>
      <c r="R16" s="12">
        <f t="shared" si="16"/>
        <v>0.37405211938997729</v>
      </c>
      <c r="S16" s="12">
        <f t="shared" si="16"/>
        <v>-1.1551697559807948E-2</v>
      </c>
      <c r="T16" s="12">
        <f t="shared" si="16"/>
        <v>-0.53306434999656804</v>
      </c>
    </row>
    <row r="17" spans="1:20" ht="15" customHeight="1" x14ac:dyDescent="0.2">
      <c r="A17" s="8" t="s">
        <v>88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-17581.616000000002</v>
      </c>
      <c r="J17" s="9">
        <v>0</v>
      </c>
      <c r="L17" s="10">
        <f t="shared" ref="L17:T17" si="17">IFERROR(B17/B4,"")</f>
        <v>0</v>
      </c>
      <c r="M17" s="10">
        <f t="shared" si="17"/>
        <v>0</v>
      </c>
      <c r="N17" s="10">
        <f t="shared" si="17"/>
        <v>0</v>
      </c>
      <c r="O17" s="10">
        <f t="shared" si="17"/>
        <v>0</v>
      </c>
      <c r="P17" s="10">
        <f t="shared" si="17"/>
        <v>0</v>
      </c>
      <c r="Q17" s="10">
        <f t="shared" si="17"/>
        <v>0</v>
      </c>
      <c r="R17" s="10">
        <f t="shared" si="17"/>
        <v>0</v>
      </c>
      <c r="S17" s="10">
        <f t="shared" si="17"/>
        <v>-1.4170113117030529E-2</v>
      </c>
      <c r="T17" s="10">
        <f t="shared" si="17"/>
        <v>0</v>
      </c>
    </row>
    <row r="18" spans="1:20" ht="15" customHeight="1" x14ac:dyDescent="0.2">
      <c r="A18" s="8" t="s">
        <v>89</v>
      </c>
      <c r="B18" s="9">
        <v>-1066140.952</v>
      </c>
      <c r="C18" s="9">
        <v>5389915.6579999998</v>
      </c>
      <c r="D18" s="9">
        <v>4117823.9610000001</v>
      </c>
      <c r="E18" s="9">
        <v>2440442.0750000002</v>
      </c>
      <c r="F18" s="9">
        <v>-3136939.2760000001</v>
      </c>
      <c r="G18" s="9">
        <v>-5125770.983</v>
      </c>
      <c r="H18" s="9">
        <v>-406261.81599999999</v>
      </c>
      <c r="I18" s="9">
        <v>-88377.216</v>
      </c>
      <c r="J18" s="9">
        <v>147225.27799999999</v>
      </c>
      <c r="L18" s="10">
        <f t="shared" ref="L18:T18" si="18">IFERROR(B18/B4,"")</f>
        <v>-8.2515687937713023E-2</v>
      </c>
      <c r="M18" s="10">
        <f t="shared" si="18"/>
        <v>0.62546904107588175</v>
      </c>
      <c r="N18" s="10">
        <f t="shared" si="18"/>
        <v>0.62546904119898239</v>
      </c>
      <c r="O18" s="10">
        <f t="shared" si="18"/>
        <v>0.26582067595837133</v>
      </c>
      <c r="P18" s="10">
        <f t="shared" si="18"/>
        <v>-0.49332111886018615</v>
      </c>
      <c r="Q18" s="10">
        <f t="shared" si="18"/>
        <v>-0.67751226034160472</v>
      </c>
      <c r="R18" s="10">
        <f t="shared" si="18"/>
        <v>-0.10669074963700766</v>
      </c>
      <c r="S18" s="10">
        <f t="shared" si="18"/>
        <v>-7.122867133989505E-2</v>
      </c>
      <c r="T18" s="10">
        <f t="shared" si="18"/>
        <v>0.10983885368343607</v>
      </c>
    </row>
    <row r="19" spans="1:20" ht="15" customHeight="1" x14ac:dyDescent="0.2">
      <c r="A19" s="6" t="s">
        <v>90</v>
      </c>
      <c r="B19" s="11">
        <f t="shared" ref="B19:J19" si="19">B17+B18</f>
        <v>-1066140.952</v>
      </c>
      <c r="C19" s="11">
        <f t="shared" si="19"/>
        <v>5389915.6579999998</v>
      </c>
      <c r="D19" s="11">
        <f t="shared" si="19"/>
        <v>4117823.9610000001</v>
      </c>
      <c r="E19" s="11">
        <f t="shared" si="19"/>
        <v>2440442.0750000002</v>
      </c>
      <c r="F19" s="11">
        <f t="shared" si="19"/>
        <v>-3136939.2760000001</v>
      </c>
      <c r="G19" s="11">
        <f t="shared" si="19"/>
        <v>-5125770.983</v>
      </c>
      <c r="H19" s="11">
        <f t="shared" si="19"/>
        <v>-406261.81599999999</v>
      </c>
      <c r="I19" s="11">
        <f t="shared" si="19"/>
        <v>-105958.83199999999</v>
      </c>
      <c r="J19" s="11">
        <f t="shared" si="19"/>
        <v>147225.27799999999</v>
      </c>
      <c r="L19" s="12">
        <f t="shared" ref="L19:T19" si="20">IFERROR(B19/B4,"")</f>
        <v>-8.2515687937713023E-2</v>
      </c>
      <c r="M19" s="12">
        <f t="shared" si="20"/>
        <v>0.62546904107588175</v>
      </c>
      <c r="N19" s="12">
        <f t="shared" si="20"/>
        <v>0.62546904119898239</v>
      </c>
      <c r="O19" s="12">
        <f t="shared" si="20"/>
        <v>0.26582067595837133</v>
      </c>
      <c r="P19" s="12">
        <f t="shared" si="20"/>
        <v>-0.49332111886018615</v>
      </c>
      <c r="Q19" s="12">
        <f t="shared" si="20"/>
        <v>-0.67751226034160472</v>
      </c>
      <c r="R19" s="12">
        <f t="shared" si="20"/>
        <v>-0.10669074963700766</v>
      </c>
      <c r="S19" s="12">
        <f t="shared" si="20"/>
        <v>-8.5398784456925572E-2</v>
      </c>
      <c r="T19" s="12">
        <f t="shared" si="20"/>
        <v>0.10983885368343607</v>
      </c>
    </row>
    <row r="20" spans="1:20" ht="15" customHeight="1" x14ac:dyDescent="0.2">
      <c r="A20" s="6" t="s">
        <v>91</v>
      </c>
      <c r="B20" s="11">
        <f t="shared" ref="B20:J20" si="21">B16+B19</f>
        <v>-2804072.9870000002</v>
      </c>
      <c r="C20" s="11">
        <f t="shared" si="21"/>
        <v>-15406391.402000003</v>
      </c>
      <c r="D20" s="11">
        <f t="shared" si="21"/>
        <v>-11770278.365000002</v>
      </c>
      <c r="E20" s="11">
        <f t="shared" si="21"/>
        <v>-1848193.4310000008</v>
      </c>
      <c r="F20" s="11">
        <f t="shared" si="21"/>
        <v>-1280100.5390000003</v>
      </c>
      <c r="G20" s="11">
        <f t="shared" si="21"/>
        <v>4973023.5710000014</v>
      </c>
      <c r="H20" s="11">
        <f t="shared" si="21"/>
        <v>1018070.6009999999</v>
      </c>
      <c r="I20" s="11">
        <f t="shared" si="21"/>
        <v>-120291.64000000001</v>
      </c>
      <c r="J20" s="11">
        <f t="shared" si="21"/>
        <v>-567280.96900000004</v>
      </c>
      <c r="L20" s="12">
        <f t="shared" ref="L20:T20" si="22">IFERROR(B20/B4,"")</f>
        <v>-0.21702572358355751</v>
      </c>
      <c r="M20" s="12">
        <f t="shared" si="22"/>
        <v>-1.7878240529322678</v>
      </c>
      <c r="N20" s="12">
        <f t="shared" si="22"/>
        <v>-1.7878240530257765</v>
      </c>
      <c r="O20" s="12">
        <f t="shared" si="22"/>
        <v>-0.20131107890780064</v>
      </c>
      <c r="P20" s="12">
        <f t="shared" si="22"/>
        <v>-0.20131107891838182</v>
      </c>
      <c r="Q20" s="12">
        <f t="shared" si="22"/>
        <v>0.65732246943821171</v>
      </c>
      <c r="R20" s="12">
        <f t="shared" si="22"/>
        <v>0.26736136975296965</v>
      </c>
      <c r="S20" s="12">
        <f t="shared" si="22"/>
        <v>-9.6950482016733522E-2</v>
      </c>
      <c r="T20" s="12">
        <f t="shared" si="22"/>
        <v>-0.42322549631313205</v>
      </c>
    </row>
    <row r="21" spans="1:20" ht="15" customHeight="1" x14ac:dyDescent="0.2">
      <c r="A21" s="8" t="s">
        <v>92</v>
      </c>
      <c r="B21" s="15">
        <f>IFERROR(B20/AYDEM_BS!B29,0)</f>
        <v>-3.9774084921985819</v>
      </c>
      <c r="C21" s="15">
        <f>IFERROR(C20/AYDEM_BS!C29,0)</f>
        <v>-21.853037449645395</v>
      </c>
      <c r="D21" s="15">
        <f>IFERROR(D20/AYDEM_BS!D29,0)</f>
        <v>-16.695430304964543</v>
      </c>
      <c r="E21" s="15">
        <f>IFERROR(E20/AYDEM_BS!E29,0)</f>
        <v>-2.6215509659574479</v>
      </c>
      <c r="F21" s="15">
        <f>IFERROR(F20/AYDEM_BS!F29,0)</f>
        <v>-1.8157454453900714</v>
      </c>
      <c r="G21" s="15">
        <f>IFERROR(G20/AYDEM_BS!G29,0)</f>
        <v>7.0539341432624134</v>
      </c>
      <c r="H21" s="15">
        <f>IFERROR(H20/AYDEM_BS!H29,0)</f>
        <v>1.4440717744680849</v>
      </c>
      <c r="I21" s="15">
        <f>IFERROR(I20/AYDEM_BS!I29,0)</f>
        <v>-0.17062643971631208</v>
      </c>
      <c r="J21" s="15">
        <f>IFERROR(J20/AYDEM_BS!J29,0)</f>
        <v>-0.8104013842857144</v>
      </c>
    </row>
    <row r="24" spans="1:20" ht="18" customHeight="1" x14ac:dyDescent="0.2">
      <c r="L24" s="263" t="s">
        <v>44</v>
      </c>
      <c r="M24" s="263"/>
      <c r="N24" s="263"/>
      <c r="O24" s="263"/>
      <c r="P24" s="263"/>
      <c r="Q24" s="263"/>
      <c r="R24" s="263"/>
      <c r="S24" s="263"/>
      <c r="T24" s="263"/>
    </row>
    <row r="25" spans="1:20" ht="21.75" customHeight="1" x14ac:dyDescent="0.2">
      <c r="K25" s="249" t="s">
        <v>45</v>
      </c>
      <c r="L25" s="7" t="s">
        <v>46</v>
      </c>
      <c r="M25" s="7" t="s">
        <v>47</v>
      </c>
      <c r="N25" s="7" t="s">
        <v>48</v>
      </c>
      <c r="O25" s="7" t="s">
        <v>49</v>
      </c>
      <c r="P25" s="7" t="s">
        <v>50</v>
      </c>
    </row>
    <row r="26" spans="1:20" ht="15" customHeight="1" x14ac:dyDescent="0.2">
      <c r="K26" s="8" t="s">
        <v>75</v>
      </c>
      <c r="L26" s="10">
        <f t="shared" ref="L26:L42" si="23">IFERROR((B4-C4)/ABS(C4),"-")</f>
        <v>0.49934629101430805</v>
      </c>
      <c r="M26" s="10">
        <f t="shared" ref="M26:M42" si="24">IFERROR((D4-E4)/ABS(E4),"-")</f>
        <v>-0.28289588909799335</v>
      </c>
      <c r="N26" s="10">
        <f t="shared" ref="N26:N42" si="25">IFERROR((F4-G4)/ABS(G4),"-")</f>
        <v>-0.15950648972058973</v>
      </c>
      <c r="O26" s="10">
        <f t="shared" ref="O26:O42" si="26">IFERROR((H4-I4)/ABS(I4),"-")</f>
        <v>2.0689779323900752</v>
      </c>
      <c r="P26" s="10">
        <f t="shared" ref="P26:P42" si="27">IFERROR((I4-J4)/ABS(J4),"-")</f>
        <v>-7.4323833573279915E-2</v>
      </c>
    </row>
    <row r="27" spans="1:20" ht="15" customHeight="1" x14ac:dyDescent="0.2">
      <c r="K27" s="8" t="s">
        <v>93</v>
      </c>
      <c r="L27" s="10">
        <f t="shared" si="23"/>
        <v>-0.55193282247977782</v>
      </c>
      <c r="M27" s="10">
        <f t="shared" si="24"/>
        <v>4.5341319400698792E-2</v>
      </c>
      <c r="N27" s="10">
        <f t="shared" si="25"/>
        <v>-6.9364578966780929E-2</v>
      </c>
      <c r="O27" s="10">
        <f t="shared" si="26"/>
        <v>-0.93616916697787467</v>
      </c>
      <c r="P27" s="10">
        <f t="shared" si="27"/>
        <v>-0.25951994377208609</v>
      </c>
    </row>
    <row r="28" spans="1:20" ht="15" customHeight="1" x14ac:dyDescent="0.2">
      <c r="K28" s="8" t="s">
        <v>94</v>
      </c>
      <c r="L28" s="10">
        <f t="shared" si="23"/>
        <v>0.3364327898181606</v>
      </c>
      <c r="M28" s="10">
        <f t="shared" si="24"/>
        <v>-0.595062241077567</v>
      </c>
      <c r="N28" s="10">
        <f t="shared" si="25"/>
        <v>-0.34400349739897823</v>
      </c>
      <c r="O28" s="10">
        <f t="shared" si="26"/>
        <v>3.6654457047583118</v>
      </c>
      <c r="P28" s="10">
        <f t="shared" si="27"/>
        <v>-0.3260673478651655</v>
      </c>
    </row>
    <row r="29" spans="1:20" ht="15" customHeight="1" x14ac:dyDescent="0.2">
      <c r="K29" s="8" t="s">
        <v>95</v>
      </c>
      <c r="L29" s="10">
        <f t="shared" si="23"/>
        <v>-1.7183477752096325E-2</v>
      </c>
      <c r="M29" s="10">
        <f t="shared" si="24"/>
        <v>0.29405478922571793</v>
      </c>
      <c r="N29" s="10">
        <f t="shared" si="25"/>
        <v>-0.81066377745993101</v>
      </c>
      <c r="O29" s="10">
        <f t="shared" si="26"/>
        <v>-0.6350244151170551</v>
      </c>
      <c r="P29" s="10">
        <f t="shared" si="27"/>
        <v>0.15015464006621065</v>
      </c>
    </row>
    <row r="30" spans="1:20" ht="15" customHeight="1" x14ac:dyDescent="0.2">
      <c r="K30" s="8" t="s">
        <v>96</v>
      </c>
      <c r="L30" s="10" t="str">
        <f t="shared" si="23"/>
        <v>-</v>
      </c>
      <c r="M30" s="10" t="str">
        <f t="shared" si="24"/>
        <v>-</v>
      </c>
      <c r="N30" s="10" t="str">
        <f t="shared" si="25"/>
        <v>-</v>
      </c>
      <c r="O30" s="10" t="str">
        <f t="shared" si="26"/>
        <v>-</v>
      </c>
      <c r="P30" s="10">
        <f t="shared" si="27"/>
        <v>1</v>
      </c>
    </row>
    <row r="31" spans="1:20" ht="15" customHeight="1" x14ac:dyDescent="0.2">
      <c r="K31" s="8" t="s">
        <v>817</v>
      </c>
      <c r="L31" s="10">
        <f t="shared" si="23"/>
        <v>1.0235397381639915</v>
      </c>
      <c r="M31" s="10">
        <f t="shared" si="24"/>
        <v>-0.45840370979874878</v>
      </c>
      <c r="N31" s="10">
        <f t="shared" si="25"/>
        <v>0.49455411023598767</v>
      </c>
      <c r="O31" s="10">
        <f t="shared" si="26"/>
        <v>8.9795495265273537</v>
      </c>
      <c r="P31" s="10">
        <f t="shared" si="27"/>
        <v>-0.10623934626949791</v>
      </c>
    </row>
    <row r="32" spans="1:20" ht="15" customHeight="1" x14ac:dyDescent="0.2">
      <c r="K32" s="8" t="s">
        <v>818</v>
      </c>
      <c r="L32" s="10">
        <f t="shared" si="23"/>
        <v>0.89089123774960099</v>
      </c>
      <c r="M32" s="10">
        <f t="shared" si="24"/>
        <v>-2.5047257749691694</v>
      </c>
      <c r="N32" s="10">
        <f t="shared" si="25"/>
        <v>0.24110726800342491</v>
      </c>
      <c r="O32" s="10">
        <f t="shared" si="26"/>
        <v>-0.28547438176988577</v>
      </c>
      <c r="P32" s="10">
        <f t="shared" si="27"/>
        <v>0.77431237300671418</v>
      </c>
    </row>
    <row r="33" spans="11:16" ht="15" customHeight="1" x14ac:dyDescent="0.2">
      <c r="K33" s="8" t="s">
        <v>99</v>
      </c>
      <c r="L33" s="10">
        <f t="shared" si="23"/>
        <v>1.0987606402651389</v>
      </c>
      <c r="M33" s="10">
        <f t="shared" si="24"/>
        <v>-38.365509941054079</v>
      </c>
      <c r="N33" s="10">
        <f t="shared" si="25"/>
        <v>-0.3313844899101121</v>
      </c>
      <c r="O33" s="10">
        <f t="shared" si="26"/>
        <v>4.94727683273008</v>
      </c>
      <c r="P33" s="10">
        <f t="shared" si="27"/>
        <v>-0.31621592183347891</v>
      </c>
    </row>
    <row r="34" spans="11:16" ht="15" customHeight="1" x14ac:dyDescent="0.2">
      <c r="K34" s="8" t="s">
        <v>100</v>
      </c>
      <c r="L34" s="10">
        <f t="shared" si="23"/>
        <v>-0.28602659001433517</v>
      </c>
      <c r="M34" s="10">
        <f t="shared" si="24"/>
        <v>-2.1475275588504129E-2</v>
      </c>
      <c r="N34" s="10">
        <f t="shared" si="25"/>
        <v>-8.292944949351063E-3</v>
      </c>
      <c r="O34" s="10">
        <f t="shared" si="26"/>
        <v>0.69647258300332049</v>
      </c>
      <c r="P34" s="10">
        <f t="shared" si="27"/>
        <v>0.27736962303535395</v>
      </c>
    </row>
    <row r="35" spans="11:16" ht="15" customHeight="1" x14ac:dyDescent="0.2">
      <c r="K35" s="8" t="s">
        <v>84</v>
      </c>
      <c r="L35" s="10">
        <f t="shared" si="23"/>
        <v>1.2725692678072693</v>
      </c>
      <c r="M35" s="10">
        <f t="shared" si="24"/>
        <v>-6.3272363507406579</v>
      </c>
      <c r="N35" s="10">
        <f t="shared" si="25"/>
        <v>-4.8183487639389469E-2</v>
      </c>
      <c r="O35" s="10">
        <f t="shared" si="26"/>
        <v>2.822495058211862</v>
      </c>
      <c r="P35" s="10">
        <f t="shared" si="27"/>
        <v>-0.10933257857329172</v>
      </c>
    </row>
    <row r="36" spans="11:16" ht="15" customHeight="1" x14ac:dyDescent="0.2">
      <c r="K36" s="8" t="s">
        <v>819</v>
      </c>
      <c r="L36" s="10">
        <f t="shared" si="23"/>
        <v>-0.23730525232067076</v>
      </c>
      <c r="M36" s="10">
        <f t="shared" si="24"/>
        <v>0.64994633870835472</v>
      </c>
      <c r="N36" s="10">
        <f t="shared" si="25"/>
        <v>-3.1240899057965037</v>
      </c>
      <c r="O36" s="10">
        <f t="shared" si="26"/>
        <v>-1.7305920889782271</v>
      </c>
      <c r="P36" s="10">
        <f t="shared" si="27"/>
        <v>0.65989811167628221</v>
      </c>
    </row>
    <row r="37" spans="11:16" ht="15" customHeight="1" x14ac:dyDescent="0.2">
      <c r="K37" s="8" t="s">
        <v>102</v>
      </c>
      <c r="L37" s="10">
        <f t="shared" si="23"/>
        <v>-0.37475172235446103</v>
      </c>
      <c r="M37" s="10">
        <f t="shared" si="24"/>
        <v>-0.46442061297277909</v>
      </c>
      <c r="N37" s="10">
        <f t="shared" si="25"/>
        <v>7.8111938183183571E-2</v>
      </c>
      <c r="O37" s="10" t="str">
        <f t="shared" si="26"/>
        <v>-</v>
      </c>
      <c r="P37" s="10" t="str">
        <f t="shared" si="27"/>
        <v>-</v>
      </c>
    </row>
    <row r="38" spans="11:16" ht="15" customHeight="1" x14ac:dyDescent="0.2">
      <c r="K38" s="8" t="s">
        <v>103</v>
      </c>
      <c r="L38" s="10">
        <f t="shared" si="23"/>
        <v>0.91643073791967755</v>
      </c>
      <c r="M38" s="10">
        <f t="shared" si="24"/>
        <v>-2.7046986865103846</v>
      </c>
      <c r="N38" s="10">
        <f t="shared" si="25"/>
        <v>-0.81613263572487171</v>
      </c>
      <c r="O38" s="10">
        <f t="shared" si="26"/>
        <v>100.37567132693034</v>
      </c>
      <c r="P38" s="10">
        <f t="shared" si="27"/>
        <v>0.97994026215980734</v>
      </c>
    </row>
    <row r="39" spans="11:16" ht="15" customHeight="1" x14ac:dyDescent="0.2">
      <c r="K39" s="8" t="s">
        <v>104</v>
      </c>
      <c r="L39" s="10" t="str">
        <f t="shared" si="23"/>
        <v>-</v>
      </c>
      <c r="M39" s="10" t="str">
        <f t="shared" si="24"/>
        <v>-</v>
      </c>
      <c r="N39" s="10" t="str">
        <f t="shared" si="25"/>
        <v>-</v>
      </c>
      <c r="O39" s="10">
        <f t="shared" si="26"/>
        <v>1</v>
      </c>
      <c r="P39" s="10" t="str">
        <f t="shared" si="27"/>
        <v>-</v>
      </c>
    </row>
    <row r="40" spans="11:16" ht="15" customHeight="1" x14ac:dyDescent="0.2">
      <c r="K40" s="8" t="s">
        <v>105</v>
      </c>
      <c r="L40" s="10">
        <f t="shared" si="23"/>
        <v>-1.197802900759231</v>
      </c>
      <c r="M40" s="10">
        <f t="shared" si="24"/>
        <v>0.68732706388861942</v>
      </c>
      <c r="N40" s="10">
        <f t="shared" si="25"/>
        <v>0.38800635330686994</v>
      </c>
      <c r="O40" s="10">
        <f t="shared" si="26"/>
        <v>-3.5969066959520424</v>
      </c>
      <c r="P40" s="10">
        <f t="shared" si="27"/>
        <v>-1.6002856112793349</v>
      </c>
    </row>
    <row r="41" spans="11:16" ht="15" customHeight="1" x14ac:dyDescent="0.2">
      <c r="K41" s="8" t="s">
        <v>106</v>
      </c>
      <c r="L41" s="10">
        <f t="shared" si="23"/>
        <v>-1.197802900759231</v>
      </c>
      <c r="M41" s="10">
        <f t="shared" si="24"/>
        <v>0.68732706388861942</v>
      </c>
      <c r="N41" s="10">
        <f t="shared" si="25"/>
        <v>0.38800635330686994</v>
      </c>
      <c r="O41" s="10">
        <f t="shared" si="26"/>
        <v>-2.8341477376798569</v>
      </c>
      <c r="P41" s="10">
        <f t="shared" si="27"/>
        <v>-1.719705429933031</v>
      </c>
    </row>
    <row r="42" spans="11:16" ht="15" customHeight="1" x14ac:dyDescent="0.2">
      <c r="K42" s="8" t="s">
        <v>107</v>
      </c>
      <c r="L42" s="10">
        <f t="shared" si="23"/>
        <v>0.81799287621395977</v>
      </c>
      <c r="M42" s="10">
        <f t="shared" si="24"/>
        <v>-5.3685316523560331</v>
      </c>
      <c r="N42" s="10">
        <f t="shared" si="25"/>
        <v>-1.2574089023958901</v>
      </c>
      <c r="O42" s="10">
        <f t="shared" si="26"/>
        <v>9.4633529063200044</v>
      </c>
      <c r="P42" s="10">
        <f t="shared" si="27"/>
        <v>0.78795051028761021</v>
      </c>
    </row>
  </sheetData>
  <mergeCells count="4">
    <mergeCell ref="A1:J1"/>
    <mergeCell ref="L1:T1"/>
    <mergeCell ref="A3:J3"/>
    <mergeCell ref="L24:T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4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5" customWidth="1"/>
    <col min="2" max="2" width="15" customWidth="1"/>
    <col min="3" max="10" width="16" customWidth="1"/>
    <col min="11" max="11" width="35" customWidth="1"/>
    <col min="12" max="20" width="16" customWidth="1"/>
  </cols>
  <sheetData>
    <row r="1" spans="1:20" ht="21.75" customHeight="1" x14ac:dyDescent="0.2">
      <c r="A1" s="254" t="s">
        <v>820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109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110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8" t="s">
        <v>111</v>
      </c>
      <c r="B4" s="9">
        <v>-2804072.9870000002</v>
      </c>
      <c r="C4" s="9">
        <v>-15406391.402000001</v>
      </c>
      <c r="D4" s="9">
        <v>-11770278.365</v>
      </c>
      <c r="E4" s="9">
        <v>-1848193.4310000001</v>
      </c>
      <c r="F4" s="9">
        <v>-1280100.5390000001</v>
      </c>
      <c r="G4" s="9">
        <v>4973023.5710000005</v>
      </c>
      <c r="H4" s="9">
        <v>1018070.601</v>
      </c>
      <c r="I4" s="9">
        <v>-120291.64</v>
      </c>
      <c r="J4" s="9">
        <v>-567280.96900000004</v>
      </c>
      <c r="L4" s="10">
        <f t="shared" ref="L4:T4" si="0">IFERROR(B4/B11,"")</f>
        <v>-0.4023319772008031</v>
      </c>
      <c r="M4" s="10">
        <f t="shared" si="0"/>
        <v>-3.2289266958929401</v>
      </c>
      <c r="N4" s="10">
        <f t="shared" si="0"/>
        <v>-3.2401911063343678</v>
      </c>
      <c r="O4" s="10">
        <f t="shared" si="0"/>
        <v>-0.29022244298489619</v>
      </c>
      <c r="P4" s="10">
        <f t="shared" si="0"/>
        <v>-0.29022244317529772</v>
      </c>
      <c r="Q4" s="10">
        <f t="shared" si="0"/>
        <v>0.73254725269605858</v>
      </c>
      <c r="R4" s="10">
        <f t="shared" si="0"/>
        <v>0.34062688480243314</v>
      </c>
      <c r="S4" s="10">
        <f t="shared" si="0"/>
        <v>-9.2415742902512005E-2</v>
      </c>
      <c r="T4" s="10">
        <f t="shared" si="0"/>
        <v>-0.52882459239192847</v>
      </c>
    </row>
    <row r="5" spans="1:20" ht="15" customHeight="1" x14ac:dyDescent="0.2">
      <c r="A5" s="8" t="s">
        <v>112</v>
      </c>
      <c r="B5" s="9">
        <v>2811826.727</v>
      </c>
      <c r="C5" s="9">
        <v>3938279.3360000001</v>
      </c>
      <c r="D5" s="9">
        <v>3008793.094</v>
      </c>
      <c r="E5" s="9">
        <v>3074825.8259999999</v>
      </c>
      <c r="F5" s="9">
        <v>2129693.8569999998</v>
      </c>
      <c r="G5" s="9">
        <v>2147502.9810000001</v>
      </c>
      <c r="H5" s="9">
        <v>771380.21200000006</v>
      </c>
      <c r="I5" s="9">
        <v>454696.53899999999</v>
      </c>
      <c r="J5" s="9">
        <v>355963.16899999999</v>
      </c>
      <c r="L5" s="10">
        <f t="shared" ref="L5:T5" si="1">IFERROR(B5/B11,"")</f>
        <v>0.40344449372921148</v>
      </c>
      <c r="M5" s="10">
        <f t="shared" si="1"/>
        <v>0.8253986901983501</v>
      </c>
      <c r="N5" s="10">
        <f t="shared" si="1"/>
        <v>0.82827816995125636</v>
      </c>
      <c r="O5" s="10">
        <f t="shared" si="1"/>
        <v>0.4828409451125093</v>
      </c>
      <c r="P5" s="10">
        <f t="shared" si="1"/>
        <v>0.48284094535012384</v>
      </c>
      <c r="Q5" s="10">
        <f t="shared" si="1"/>
        <v>0.3163362060179839</v>
      </c>
      <c r="R5" s="10">
        <f t="shared" si="1"/>
        <v>0.25808901499926573</v>
      </c>
      <c r="S5" s="10">
        <f t="shared" si="1"/>
        <v>0.34932700599049127</v>
      </c>
      <c r="T5" s="10">
        <f t="shared" si="1"/>
        <v>0.33183217495343853</v>
      </c>
    </row>
    <row r="6" spans="1:20" ht="15" customHeight="1" x14ac:dyDescent="0.2">
      <c r="A6" s="8" t="s">
        <v>113</v>
      </c>
      <c r="B6" s="9">
        <v>137026.649</v>
      </c>
      <c r="C6" s="9">
        <v>104842.553</v>
      </c>
      <c r="D6" s="9">
        <v>80098.317999999999</v>
      </c>
      <c r="E6" s="9">
        <v>67178.64</v>
      </c>
      <c r="F6" s="9">
        <v>46529.445</v>
      </c>
      <c r="G6" s="9">
        <v>38110.453999999998</v>
      </c>
      <c r="H6" s="9">
        <v>19153.786</v>
      </c>
      <c r="I6" s="9">
        <v>9729.3109999999997</v>
      </c>
      <c r="J6" s="9">
        <v>2669.8240000000001</v>
      </c>
      <c r="L6" s="10">
        <f t="shared" ref="L6:T6" si="2">IFERROR(B6/B11,"")</f>
        <v>1.9660758788005987E-2</v>
      </c>
      <c r="M6" s="10">
        <f t="shared" si="2"/>
        <v>2.1973277804906599E-2</v>
      </c>
      <c r="N6" s="10">
        <f t="shared" si="2"/>
        <v>2.2049933703156051E-2</v>
      </c>
      <c r="O6" s="10">
        <f t="shared" si="2"/>
        <v>1.0549084684633784E-2</v>
      </c>
      <c r="P6" s="10">
        <f t="shared" si="2"/>
        <v>1.0549084853944148E-2</v>
      </c>
      <c r="Q6" s="10">
        <f t="shared" si="2"/>
        <v>5.6138298920400415E-3</v>
      </c>
      <c r="R6" s="10">
        <f t="shared" si="2"/>
        <v>6.4084892058998335E-3</v>
      </c>
      <c r="S6" s="10">
        <f t="shared" si="2"/>
        <v>7.4746799028975073E-3</v>
      </c>
      <c r="T6" s="10">
        <f t="shared" si="2"/>
        <v>2.4888347498189878E-3</v>
      </c>
    </row>
    <row r="7" spans="1:20" ht="15" customHeight="1" x14ac:dyDescent="0.2">
      <c r="A7" s="8" t="s">
        <v>114</v>
      </c>
      <c r="B7" s="9">
        <v>11343807.813999999</v>
      </c>
      <c r="C7" s="9">
        <v>27904746.556000002</v>
      </c>
      <c r="D7" s="9">
        <v>21317973.462000001</v>
      </c>
      <c r="E7" s="9">
        <v>14940994.097999999</v>
      </c>
      <c r="F7" s="9">
        <v>15175714.783</v>
      </c>
      <c r="G7" s="9">
        <v>14258537.437999999</v>
      </c>
      <c r="H7" s="9">
        <v>2475688.463</v>
      </c>
      <c r="I7" s="9">
        <v>1155485.5989999999</v>
      </c>
      <c r="J7" s="9">
        <v>1281543.486</v>
      </c>
      <c r="L7" s="10">
        <f t="shared" ref="L7:T7" si="3">IFERROR(B7/B11,"")</f>
        <v>1.6276240482867788</v>
      </c>
      <c r="M7" s="10">
        <f t="shared" si="3"/>
        <v>5.8483767383125311</v>
      </c>
      <c r="N7" s="10">
        <f t="shared" si="3"/>
        <v>5.8685364844083256</v>
      </c>
      <c r="O7" s="10">
        <f t="shared" si="3"/>
        <v>2.3461893841913968</v>
      </c>
      <c r="P7" s="10">
        <f t="shared" si="3"/>
        <v>3.4406149259919521</v>
      </c>
      <c r="Q7" s="10">
        <f t="shared" si="3"/>
        <v>2.1003424332393528</v>
      </c>
      <c r="R7" s="10">
        <f t="shared" si="3"/>
        <v>0.82831784756842586</v>
      </c>
      <c r="S7" s="10">
        <f t="shared" si="3"/>
        <v>0.88771804960626588</v>
      </c>
      <c r="T7" s="10">
        <f t="shared" si="3"/>
        <v>1.1946667500782686</v>
      </c>
    </row>
    <row r="8" spans="1:20" ht="15" customHeight="1" x14ac:dyDescent="0.2">
      <c r="A8" s="8" t="s">
        <v>115</v>
      </c>
      <c r="B8" s="9">
        <v>-8055215.6840000004</v>
      </c>
      <c r="C8" s="9">
        <v>-12225912.448000001</v>
      </c>
      <c r="D8" s="9">
        <v>-9352225.1070000008</v>
      </c>
      <c r="E8" s="9">
        <v>-9300848.0940000005</v>
      </c>
      <c r="F8" s="9">
        <v>-11269222.197000001</v>
      </c>
      <c r="G8" s="9">
        <v>-12748828.129000001</v>
      </c>
      <c r="H8" s="9">
        <v>0</v>
      </c>
      <c r="I8" s="9">
        <v>0</v>
      </c>
      <c r="J8" s="9">
        <v>0</v>
      </c>
      <c r="L8" s="10">
        <f t="shared" ref="L8:T8" si="4">IFERROR(B8/B11,"")</f>
        <v>-1.1557726449873751</v>
      </c>
      <c r="M8" s="10">
        <f t="shared" si="4"/>
        <v>-2.5623505242033713</v>
      </c>
      <c r="N8" s="10">
        <f t="shared" si="4"/>
        <v>-2.5745352553638083</v>
      </c>
      <c r="O8" s="10">
        <f t="shared" si="4"/>
        <v>-1.4605153391393562</v>
      </c>
      <c r="P8" s="10">
        <f t="shared" si="4"/>
        <v>-2.5549408808573562</v>
      </c>
      <c r="Q8" s="10">
        <f t="shared" si="4"/>
        <v>-1.8779559130694459</v>
      </c>
      <c r="R8" s="10">
        <f t="shared" si="4"/>
        <v>0</v>
      </c>
      <c r="S8" s="10">
        <f t="shared" si="4"/>
        <v>0</v>
      </c>
      <c r="T8" s="10">
        <f t="shared" si="4"/>
        <v>0</v>
      </c>
    </row>
    <row r="9" spans="1:20" ht="15" customHeight="1" x14ac:dyDescent="0.2">
      <c r="A9" s="8" t="s">
        <v>116</v>
      </c>
      <c r="B9" s="9">
        <v>3604378.8470000001</v>
      </c>
      <c r="C9" s="9">
        <v>477093.47700000001</v>
      </c>
      <c r="D9" s="9">
        <v>364493.07799999998</v>
      </c>
      <c r="E9" s="9">
        <v>-554678.25199999998</v>
      </c>
      <c r="F9" s="9">
        <v>-384182.69400000002</v>
      </c>
      <c r="G9" s="9">
        <v>-1863955.456</v>
      </c>
      <c r="H9" s="9">
        <v>-1281738.0619999999</v>
      </c>
      <c r="I9" s="9">
        <v>-191756.93400000001</v>
      </c>
      <c r="J9" s="9">
        <v>2086.098</v>
      </c>
      <c r="L9" s="10">
        <f t="shared" ref="L9:T9" si="5">IFERROR(B9/B11,"")</f>
        <v>0.51716088518999059</v>
      </c>
      <c r="M9" s="10">
        <f t="shared" si="5"/>
        <v>9.9990959863690249E-2</v>
      </c>
      <c r="N9" s="10">
        <f t="shared" si="5"/>
        <v>0.10033978747418</v>
      </c>
      <c r="O9" s="10">
        <f t="shared" si="5"/>
        <v>-8.7101314540940958E-2</v>
      </c>
      <c r="P9" s="10">
        <f t="shared" si="5"/>
        <v>-8.7101314843167799E-2</v>
      </c>
      <c r="Q9" s="10">
        <f t="shared" si="5"/>
        <v>-0.27456846502862248</v>
      </c>
      <c r="R9" s="10">
        <f t="shared" si="5"/>
        <v>-0.42884495708148618</v>
      </c>
      <c r="S9" s="10">
        <f t="shared" si="5"/>
        <v>-0.1473199593281625</v>
      </c>
      <c r="T9" s="10">
        <f t="shared" si="5"/>
        <v>1.9446799466661063E-3</v>
      </c>
    </row>
    <row r="10" spans="1:20" ht="15" customHeight="1" x14ac:dyDescent="0.2">
      <c r="A10" s="8" t="s">
        <v>117</v>
      </c>
      <c r="B10" s="9">
        <v>-68200.98</v>
      </c>
      <c r="C10" s="9">
        <v>-21291.964</v>
      </c>
      <c r="D10" s="9">
        <v>-16266.778</v>
      </c>
      <c r="E10" s="9">
        <v>-11082.682000000001</v>
      </c>
      <c r="F10" s="9">
        <v>-7676.116</v>
      </c>
      <c r="G10" s="9">
        <v>-15718.111000000001</v>
      </c>
      <c r="H10" s="9">
        <v>-13740.415999999999</v>
      </c>
      <c r="I10" s="9">
        <v>-6227.0690000000004</v>
      </c>
      <c r="J10" s="9">
        <v>-2261.1309999999999</v>
      </c>
      <c r="L10" s="10">
        <f t="shared" ref="L10:T10" si="6">IFERROR(B10/B11,"")</f>
        <v>-9.785563805808464E-3</v>
      </c>
      <c r="M10" s="10">
        <f t="shared" si="6"/>
        <v>-4.4624460831669205E-3</v>
      </c>
      <c r="N10" s="10">
        <f t="shared" si="6"/>
        <v>-4.4780138387419998E-3</v>
      </c>
      <c r="O10" s="10">
        <f t="shared" si="6"/>
        <v>-1.740317323346625E-3</v>
      </c>
      <c r="P10" s="10">
        <f t="shared" si="6"/>
        <v>-1.7403173201983892E-3</v>
      </c>
      <c r="Q10" s="10">
        <f t="shared" si="6"/>
        <v>-2.3153437473666253E-3</v>
      </c>
      <c r="R10" s="10">
        <f t="shared" si="6"/>
        <v>-4.5972794945382265E-3</v>
      </c>
      <c r="S10" s="10">
        <f t="shared" si="6"/>
        <v>-4.7840332689803094E-3</v>
      </c>
      <c r="T10" s="10">
        <f t="shared" si="6"/>
        <v>-2.1078473362637225E-3</v>
      </c>
    </row>
    <row r="11" spans="1:20" ht="15" customHeight="1" x14ac:dyDescent="0.2">
      <c r="A11" s="6" t="s">
        <v>118</v>
      </c>
      <c r="B11" s="11">
        <f t="shared" ref="B11:J11" si="7">SUM(B4:B10)</f>
        <v>6969550.385999999</v>
      </c>
      <c r="C11" s="11">
        <f t="shared" si="7"/>
        <v>4771366.1080000009</v>
      </c>
      <c r="D11" s="11">
        <f t="shared" si="7"/>
        <v>3632587.7020000005</v>
      </c>
      <c r="E11" s="11">
        <f t="shared" si="7"/>
        <v>6368196.1049999986</v>
      </c>
      <c r="F11" s="11">
        <f t="shared" si="7"/>
        <v>4410756.5389999989</v>
      </c>
      <c r="G11" s="11">
        <f t="shared" si="7"/>
        <v>6788672.7479999978</v>
      </c>
      <c r="H11" s="11">
        <f t="shared" si="7"/>
        <v>2988814.5839999998</v>
      </c>
      <c r="I11" s="11">
        <f t="shared" si="7"/>
        <v>1301635.8060000001</v>
      </c>
      <c r="J11" s="11">
        <f t="shared" si="7"/>
        <v>1072720.477</v>
      </c>
      <c r="L11" s="12">
        <f t="shared" ref="L11:T11" si="8">IFERROR(B11/B11,"")</f>
        <v>1</v>
      </c>
      <c r="M11" s="12">
        <f t="shared" si="8"/>
        <v>1</v>
      </c>
      <c r="N11" s="12">
        <f t="shared" si="8"/>
        <v>1</v>
      </c>
      <c r="O11" s="12">
        <f t="shared" si="8"/>
        <v>1</v>
      </c>
      <c r="P11" s="12">
        <f t="shared" si="8"/>
        <v>1</v>
      </c>
      <c r="Q11" s="12">
        <f t="shared" si="8"/>
        <v>1</v>
      </c>
      <c r="R11" s="12">
        <f t="shared" si="8"/>
        <v>1</v>
      </c>
      <c r="S11" s="12">
        <f t="shared" si="8"/>
        <v>1</v>
      </c>
      <c r="T11" s="12">
        <f t="shared" si="8"/>
        <v>1</v>
      </c>
    </row>
    <row r="12" spans="1:20" ht="15" customHeight="1" x14ac:dyDescent="0.2">
      <c r="A12" s="253" t="s">
        <v>119</v>
      </c>
      <c r="B12" s="253"/>
      <c r="C12" s="253"/>
      <c r="D12" s="253"/>
      <c r="E12" s="253"/>
      <c r="F12" s="253"/>
      <c r="G12" s="253"/>
      <c r="H12" s="253"/>
      <c r="I12" s="253"/>
      <c r="J12" s="253"/>
    </row>
    <row r="13" spans="1:20" ht="15" customHeight="1" x14ac:dyDescent="0.2">
      <c r="A13" s="8" t="s">
        <v>120</v>
      </c>
      <c r="B13" s="9">
        <v>-285026.20199999999</v>
      </c>
      <c r="C13" s="9">
        <v>-903742.33900000004</v>
      </c>
      <c r="D13" s="9">
        <v>-690447.14099999995</v>
      </c>
      <c r="E13" s="9">
        <v>-3132043.2179999999</v>
      </c>
      <c r="F13" s="9">
        <v>-2169323.9160000002</v>
      </c>
      <c r="G13" s="9">
        <v>-2246440.5419999999</v>
      </c>
      <c r="H13" s="9">
        <v>-1485021.84</v>
      </c>
      <c r="I13" s="9">
        <v>-198030.46100000001</v>
      </c>
      <c r="J13" s="9">
        <v>-74590.248000000007</v>
      </c>
      <c r="L13" s="10">
        <f t="shared" ref="L13:T13" si="9">IFERROR(B13/B11,"")</f>
        <v>-4.0895923870863028E-2</v>
      </c>
      <c r="M13" s="10">
        <f t="shared" si="9"/>
        <v>-0.18940955662252021</v>
      </c>
      <c r="N13" s="10">
        <f t="shared" si="9"/>
        <v>-0.19007032937425275</v>
      </c>
      <c r="O13" s="10">
        <f t="shared" si="9"/>
        <v>-0.49182581163618244</v>
      </c>
      <c r="P13" s="10">
        <f t="shared" si="9"/>
        <v>-0.49182581192563996</v>
      </c>
      <c r="Q13" s="10">
        <f t="shared" si="9"/>
        <v>-0.33091012417144733</v>
      </c>
      <c r="R13" s="10">
        <f t="shared" si="9"/>
        <v>-0.49685980788161205</v>
      </c>
      <c r="S13" s="10">
        <f t="shared" si="9"/>
        <v>-0.15213968460852251</v>
      </c>
      <c r="T13" s="10">
        <f t="shared" si="9"/>
        <v>-6.9533722530030539E-2</v>
      </c>
    </row>
    <row r="14" spans="1:20" ht="15" customHeight="1" x14ac:dyDescent="0.2">
      <c r="A14" s="8" t="s">
        <v>121</v>
      </c>
      <c r="B14" s="9">
        <v>1008997.874</v>
      </c>
      <c r="C14" s="9">
        <v>-199953.55300000001</v>
      </c>
      <c r="D14" s="9">
        <v>-140971.446</v>
      </c>
      <c r="E14" s="9">
        <v>756142.65500000003</v>
      </c>
      <c r="F14" s="9">
        <v>523721.49099999998</v>
      </c>
      <c r="G14" s="9">
        <v>66405.801999999996</v>
      </c>
      <c r="H14" s="9">
        <v>31048.016</v>
      </c>
      <c r="I14" s="9">
        <v>-51899.305999999997</v>
      </c>
      <c r="J14" s="9">
        <v>-54677.067999999999</v>
      </c>
      <c r="L14" s="10">
        <f t="shared" ref="L14:T14" si="10">IFERROR(B14/B11,"")</f>
        <v>0.1447723049720413</v>
      </c>
      <c r="M14" s="10">
        <f t="shared" si="10"/>
        <v>-4.1906981873544379E-2</v>
      </c>
      <c r="N14" s="10">
        <f t="shared" si="10"/>
        <v>-3.8807444599998256E-2</v>
      </c>
      <c r="O14" s="10">
        <f t="shared" si="10"/>
        <v>0.11873733825601154</v>
      </c>
      <c r="P14" s="10">
        <f t="shared" si="10"/>
        <v>0.11873733822514208</v>
      </c>
      <c r="Q14" s="10">
        <f t="shared" si="10"/>
        <v>9.781853458699084E-3</v>
      </c>
      <c r="R14" s="10">
        <f t="shared" si="10"/>
        <v>1.0388070295898957E-2</v>
      </c>
      <c r="S14" s="10">
        <f t="shared" si="10"/>
        <v>-3.9872371181528476E-2</v>
      </c>
      <c r="T14" s="10">
        <f t="shared" si="10"/>
        <v>-5.0970471033527219E-2</v>
      </c>
    </row>
    <row r="15" spans="1:20" ht="15" customHeight="1" x14ac:dyDescent="0.2">
      <c r="A15" s="6" t="s">
        <v>122</v>
      </c>
      <c r="B15" s="11">
        <f t="shared" ref="B15:J15" si="11">B13+B14</f>
        <v>723971.67200000002</v>
      </c>
      <c r="C15" s="11">
        <f t="shared" si="11"/>
        <v>-1103695.892</v>
      </c>
      <c r="D15" s="11">
        <f t="shared" si="11"/>
        <v>-831418.58699999994</v>
      </c>
      <c r="E15" s="11">
        <f t="shared" si="11"/>
        <v>-2375900.5630000001</v>
      </c>
      <c r="F15" s="11">
        <f t="shared" si="11"/>
        <v>-1645602.4250000003</v>
      </c>
      <c r="G15" s="11">
        <f t="shared" si="11"/>
        <v>-2180034.7399999998</v>
      </c>
      <c r="H15" s="11">
        <f t="shared" si="11"/>
        <v>-1453973.824</v>
      </c>
      <c r="I15" s="11">
        <f t="shared" si="11"/>
        <v>-249929.76699999999</v>
      </c>
      <c r="J15" s="11">
        <f t="shared" si="11"/>
        <v>-129267.31600000001</v>
      </c>
      <c r="L15" s="12">
        <f t="shared" ref="L15:T15" si="12">IFERROR(B15/B11,"")</f>
        <v>0.10387638110117828</v>
      </c>
      <c r="M15" s="12">
        <f t="shared" si="12"/>
        <v>-0.23131653849606457</v>
      </c>
      <c r="N15" s="12">
        <f t="shared" si="12"/>
        <v>-0.22887777397425099</v>
      </c>
      <c r="O15" s="12">
        <f t="shared" si="12"/>
        <v>-0.37308847338017093</v>
      </c>
      <c r="P15" s="12">
        <f t="shared" si="12"/>
        <v>-0.37308847370049791</v>
      </c>
      <c r="Q15" s="12">
        <f t="shared" si="12"/>
        <v>-0.32112827071274824</v>
      </c>
      <c r="R15" s="12">
        <f t="shared" si="12"/>
        <v>-0.48647173758571305</v>
      </c>
      <c r="S15" s="12">
        <f t="shared" si="12"/>
        <v>-0.19201205579005098</v>
      </c>
      <c r="T15" s="12">
        <f t="shared" si="12"/>
        <v>-0.12050419356355777</v>
      </c>
    </row>
    <row r="16" spans="1:20" ht="15" customHeight="1" x14ac:dyDescent="0.2">
      <c r="A16" s="253" t="s">
        <v>123</v>
      </c>
      <c r="B16" s="253"/>
      <c r="C16" s="253"/>
      <c r="D16" s="253"/>
      <c r="E16" s="253"/>
      <c r="F16" s="253"/>
      <c r="G16" s="253"/>
      <c r="H16" s="253"/>
      <c r="I16" s="253"/>
      <c r="J16" s="253"/>
    </row>
    <row r="17" spans="1:20" ht="15" customHeight="1" x14ac:dyDescent="0.2">
      <c r="A17" s="8" t="s">
        <v>124</v>
      </c>
      <c r="B17" s="9">
        <v>-5481766.8880000003</v>
      </c>
      <c r="C17" s="9">
        <v>-67484.73</v>
      </c>
      <c r="D17" s="9">
        <v>-51557.436999999998</v>
      </c>
      <c r="E17" s="9">
        <v>-1264609.452</v>
      </c>
      <c r="F17" s="9">
        <v>-875897.08600000001</v>
      </c>
      <c r="G17" s="9">
        <v>-1794670.453</v>
      </c>
      <c r="H17" s="9">
        <v>-964322.65700000001</v>
      </c>
      <c r="I17" s="9">
        <v>532325.451</v>
      </c>
      <c r="J17" s="9">
        <v>-467769.67599999998</v>
      </c>
      <c r="L17" s="10">
        <f t="shared" ref="L17:T17" si="13">IFERROR(B17/B11,"")</f>
        <v>-0.78653092156582061</v>
      </c>
      <c r="M17" s="10">
        <f t="shared" si="13"/>
        <v>-1.4143691444437778E-2</v>
      </c>
      <c r="N17" s="10">
        <f t="shared" si="13"/>
        <v>-1.4193032964245825E-2</v>
      </c>
      <c r="O17" s="10">
        <f t="shared" si="13"/>
        <v>-0.19858205230317735</v>
      </c>
      <c r="P17" s="10">
        <f t="shared" si="13"/>
        <v>-0.19858205236568832</v>
      </c>
      <c r="Q17" s="10">
        <f t="shared" si="13"/>
        <v>-0.2643624931734595</v>
      </c>
      <c r="R17" s="10">
        <f t="shared" si="13"/>
        <v>-0.32264385424318448</v>
      </c>
      <c r="S17" s="10">
        <f t="shared" si="13"/>
        <v>0.40896650856268774</v>
      </c>
      <c r="T17" s="10">
        <f t="shared" si="13"/>
        <v>-0.43605924006240443</v>
      </c>
    </row>
    <row r="18" spans="1:20" ht="15" customHeight="1" x14ac:dyDescent="0.2">
      <c r="A18" s="8" t="s">
        <v>125</v>
      </c>
      <c r="B18" s="9">
        <v>0</v>
      </c>
      <c r="C18" s="9">
        <v>-499257.57900000003</v>
      </c>
      <c r="D18" s="9">
        <v>-381426.158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L18" s="10">
        <f t="shared" ref="L18:T18" si="14">IFERROR(B18/B11,"")</f>
        <v>0</v>
      </c>
      <c r="M18" s="10">
        <f t="shared" si="14"/>
        <v>-0.10463619175290498</v>
      </c>
      <c r="N18" s="10">
        <f t="shared" si="14"/>
        <v>-0.1050012248265878</v>
      </c>
      <c r="O18" s="10">
        <f t="shared" si="14"/>
        <v>0</v>
      </c>
      <c r="P18" s="10">
        <f t="shared" si="14"/>
        <v>0</v>
      </c>
      <c r="Q18" s="10">
        <f t="shared" si="14"/>
        <v>0</v>
      </c>
      <c r="R18" s="10">
        <f t="shared" si="14"/>
        <v>0</v>
      </c>
      <c r="S18" s="10">
        <f t="shared" si="14"/>
        <v>0</v>
      </c>
      <c r="T18" s="10">
        <f t="shared" si="14"/>
        <v>0</v>
      </c>
    </row>
    <row r="19" spans="1:20" ht="15" customHeight="1" x14ac:dyDescent="0.2">
      <c r="A19" s="8" t="s">
        <v>821</v>
      </c>
      <c r="B19" s="9">
        <v>-2921781.7790000001</v>
      </c>
      <c r="C19" s="9">
        <v>-2578901.3420000002</v>
      </c>
      <c r="D19" s="9">
        <v>-1970246.3659999999</v>
      </c>
      <c r="E19" s="9">
        <v>-2453549.25</v>
      </c>
      <c r="F19" s="9">
        <v>-1699383.66</v>
      </c>
      <c r="G19" s="9">
        <v>-1678841.743</v>
      </c>
      <c r="H19" s="9">
        <v>-802317.00699999998</v>
      </c>
      <c r="I19" s="9">
        <v>-203964.45</v>
      </c>
      <c r="J19" s="9">
        <v>-466691.223</v>
      </c>
      <c r="L19" s="10">
        <f t="shared" ref="L19:T19" si="15">IFERROR(B19/B11,"")</f>
        <v>-0.41922098516843986</v>
      </c>
      <c r="M19" s="10">
        <f t="shared" si="15"/>
        <v>-0.54049538090905169</v>
      </c>
      <c r="N19" s="10">
        <f t="shared" si="15"/>
        <v>-0.54238094923771218</v>
      </c>
      <c r="O19" s="10">
        <f t="shared" si="15"/>
        <v>-0.38528167310576261</v>
      </c>
      <c r="P19" s="10">
        <f t="shared" si="15"/>
        <v>-0.38528167333064411</v>
      </c>
      <c r="Q19" s="10">
        <f t="shared" si="15"/>
        <v>-0.24730043784988773</v>
      </c>
      <c r="R19" s="10">
        <f t="shared" si="15"/>
        <v>-0.26843987288306143</v>
      </c>
      <c r="S19" s="10">
        <f t="shared" si="15"/>
        <v>-0.15669855504881525</v>
      </c>
      <c r="T19" s="10">
        <f t="shared" si="15"/>
        <v>-0.4350538961511779</v>
      </c>
    </row>
    <row r="20" spans="1:20" ht="15" customHeight="1" x14ac:dyDescent="0.2">
      <c r="A20" s="6" t="s">
        <v>127</v>
      </c>
      <c r="B20" s="11">
        <f t="shared" ref="B20:J20" si="16">SUM(B17:B19)</f>
        <v>-8403548.6669999994</v>
      </c>
      <c r="C20" s="11">
        <f t="shared" si="16"/>
        <v>-3145643.6510000001</v>
      </c>
      <c r="D20" s="11">
        <f t="shared" si="16"/>
        <v>-2403229.9610000001</v>
      </c>
      <c r="E20" s="11">
        <f t="shared" si="16"/>
        <v>-3718158.702</v>
      </c>
      <c r="F20" s="11">
        <f t="shared" si="16"/>
        <v>-2575280.7459999998</v>
      </c>
      <c r="G20" s="11">
        <f t="shared" si="16"/>
        <v>-3473512.196</v>
      </c>
      <c r="H20" s="11">
        <f t="shared" si="16"/>
        <v>-1766639.6639999999</v>
      </c>
      <c r="I20" s="11">
        <f t="shared" si="16"/>
        <v>328361.00099999999</v>
      </c>
      <c r="J20" s="11">
        <f t="shared" si="16"/>
        <v>-934460.89899999998</v>
      </c>
      <c r="L20" s="12">
        <f t="shared" ref="L20:T20" si="17">IFERROR(B20/B11,"")</f>
        <v>-1.2057519067342604</v>
      </c>
      <c r="M20" s="12">
        <f t="shared" si="17"/>
        <v>-0.65927526410639448</v>
      </c>
      <c r="N20" s="12">
        <f t="shared" si="17"/>
        <v>-0.66157520702854589</v>
      </c>
      <c r="O20" s="12">
        <f t="shared" si="17"/>
        <v>-0.58386372540893994</v>
      </c>
      <c r="P20" s="12">
        <f t="shared" si="17"/>
        <v>-0.58386372569633238</v>
      </c>
      <c r="Q20" s="12">
        <f t="shared" si="17"/>
        <v>-0.51166293102334726</v>
      </c>
      <c r="R20" s="12">
        <f t="shared" si="17"/>
        <v>-0.59108372712624579</v>
      </c>
      <c r="S20" s="12">
        <f t="shared" si="17"/>
        <v>0.25226795351387249</v>
      </c>
      <c r="T20" s="12">
        <f t="shared" si="17"/>
        <v>-0.87111313621358233</v>
      </c>
    </row>
    <row r="21" spans="1:20" ht="15" customHeight="1" x14ac:dyDescent="0.2">
      <c r="A21" s="8" t="s">
        <v>822</v>
      </c>
      <c r="B21" s="9">
        <v>-259433.345</v>
      </c>
      <c r="C21" s="9">
        <v>-871642.27</v>
      </c>
      <c r="D21" s="9">
        <v>-665040.90700000001</v>
      </c>
      <c r="E21" s="9">
        <v>-1340335.3359999999</v>
      </c>
      <c r="F21" s="9">
        <v>-928346.54200000002</v>
      </c>
      <c r="G21" s="9">
        <v>-3132652.7749999999</v>
      </c>
      <c r="H21" s="9">
        <v>0</v>
      </c>
      <c r="I21" s="9">
        <v>0</v>
      </c>
      <c r="J21" s="9">
        <v>0</v>
      </c>
      <c r="L21" s="10">
        <f t="shared" ref="L21:T21" si="18">IFERROR(B21/B11,"")</f>
        <v>-3.7223828027864413E-2</v>
      </c>
      <c r="M21" s="10">
        <f t="shared" si="18"/>
        <v>-0.18268190917870347</v>
      </c>
      <c r="N21" s="10">
        <f t="shared" si="18"/>
        <v>-0.18307635260501687</v>
      </c>
      <c r="O21" s="10">
        <f t="shared" si="18"/>
        <v>-0.21047331361979157</v>
      </c>
      <c r="P21" s="10">
        <f t="shared" si="18"/>
        <v>-0.21047331309074555</v>
      </c>
      <c r="Q21" s="10">
        <f t="shared" si="18"/>
        <v>-0.46145290711249953</v>
      </c>
      <c r="R21" s="10">
        <f t="shared" si="18"/>
        <v>0</v>
      </c>
      <c r="S21" s="10">
        <f t="shared" si="18"/>
        <v>0</v>
      </c>
      <c r="T21" s="10">
        <f t="shared" si="18"/>
        <v>0</v>
      </c>
    </row>
    <row r="22" spans="1:20" ht="15" customHeight="1" x14ac:dyDescent="0.2">
      <c r="A22" s="8" t="s">
        <v>129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L22" s="10">
        <f t="shared" ref="L22:T22" si="19">IFERROR(B22/B11,"")</f>
        <v>0</v>
      </c>
      <c r="M22" s="10">
        <f t="shared" si="19"/>
        <v>0</v>
      </c>
      <c r="N22" s="10">
        <f t="shared" si="19"/>
        <v>0</v>
      </c>
      <c r="O22" s="10">
        <f t="shared" si="19"/>
        <v>0</v>
      </c>
      <c r="P22" s="10">
        <f t="shared" si="19"/>
        <v>0</v>
      </c>
      <c r="Q22" s="10">
        <f t="shared" si="19"/>
        <v>0</v>
      </c>
      <c r="R22" s="10">
        <f t="shared" si="19"/>
        <v>0</v>
      </c>
      <c r="S22" s="10">
        <f t="shared" si="19"/>
        <v>0</v>
      </c>
      <c r="T22" s="10">
        <f t="shared" si="19"/>
        <v>0</v>
      </c>
    </row>
    <row r="23" spans="1:20" ht="15" customHeight="1" x14ac:dyDescent="0.2">
      <c r="A23" s="6" t="s">
        <v>130</v>
      </c>
      <c r="B23" s="11">
        <f t="shared" ref="B23:J23" si="20">B11+B15+B20+B21+B22</f>
        <v>-969459.95400000014</v>
      </c>
      <c r="C23" s="11">
        <f t="shared" si="20"/>
        <v>-349615.70499999914</v>
      </c>
      <c r="D23" s="11">
        <f t="shared" si="20"/>
        <v>-267101.75299999944</v>
      </c>
      <c r="E23" s="11">
        <f t="shared" si="20"/>
        <v>-1066198.4960000014</v>
      </c>
      <c r="F23" s="11">
        <f t="shared" si="20"/>
        <v>-738473.17400000116</v>
      </c>
      <c r="G23" s="11">
        <f t="shared" si="20"/>
        <v>-1997526.9630000023</v>
      </c>
      <c r="H23" s="11">
        <f t="shared" si="20"/>
        <v>-231798.9040000001</v>
      </c>
      <c r="I23" s="11">
        <f t="shared" si="20"/>
        <v>1380067.04</v>
      </c>
      <c r="J23" s="11">
        <f t="shared" si="20"/>
        <v>8992.2619999999879</v>
      </c>
      <c r="L23" s="12">
        <f t="shared" ref="L23:T23" si="21">IFERROR(B23/B11,"")</f>
        <v>-0.1390993536609465</v>
      </c>
      <c r="M23" s="12">
        <f t="shared" si="21"/>
        <v>-7.3273711781162501E-2</v>
      </c>
      <c r="N23" s="12">
        <f t="shared" si="21"/>
        <v>-7.3529333607813718E-2</v>
      </c>
      <c r="O23" s="12">
        <f t="shared" si="21"/>
        <v>-0.16742551240890244</v>
      </c>
      <c r="P23" s="12">
        <f t="shared" si="21"/>
        <v>-0.16742551248757584</v>
      </c>
      <c r="Q23" s="12">
        <f t="shared" si="21"/>
        <v>-0.29424410884859509</v>
      </c>
      <c r="R23" s="12">
        <f t="shared" si="21"/>
        <v>-7.7555464711958899E-2</v>
      </c>
      <c r="S23" s="12">
        <f t="shared" si="21"/>
        <v>1.0602558977238214</v>
      </c>
      <c r="T23" s="12">
        <f t="shared" si="21"/>
        <v>8.3826702228599181E-3</v>
      </c>
    </row>
    <row r="24" spans="1:20" ht="15" customHeight="1" x14ac:dyDescent="0.2">
      <c r="A24" s="8" t="s">
        <v>131</v>
      </c>
      <c r="B24" s="9">
        <v>2283542.9619999998</v>
      </c>
      <c r="C24" s="9">
        <v>2633158.6669999999</v>
      </c>
      <c r="D24" s="9">
        <v>2011698.24</v>
      </c>
      <c r="E24" s="9">
        <v>3077896.736</v>
      </c>
      <c r="F24" s="9">
        <v>2131820.8390000002</v>
      </c>
      <c r="G24" s="9">
        <v>4129347.8020000001</v>
      </c>
      <c r="H24" s="9">
        <v>1525592.118</v>
      </c>
      <c r="I24" s="9">
        <v>145525.07800000001</v>
      </c>
      <c r="J24" s="9">
        <v>136532.81599999999</v>
      </c>
      <c r="L24" s="10">
        <f t="shared" ref="L24:T24" si="22">IFERROR(B24/B11,"")</f>
        <v>0.32764566371268933</v>
      </c>
      <c r="M24" s="10">
        <f t="shared" si="22"/>
        <v>0.55186682543288068</v>
      </c>
      <c r="N24" s="10">
        <f t="shared" si="22"/>
        <v>0.55379206368298162</v>
      </c>
      <c r="O24" s="10">
        <f t="shared" si="22"/>
        <v>0.48332317115413342</v>
      </c>
      <c r="P24" s="10">
        <f t="shared" si="22"/>
        <v>0.48332317146738818</v>
      </c>
      <c r="Q24" s="10">
        <f t="shared" si="22"/>
        <v>0.60827026950393825</v>
      </c>
      <c r="R24" s="10">
        <f t="shared" si="22"/>
        <v>0.51043384429631122</v>
      </c>
      <c r="S24" s="10">
        <f t="shared" si="22"/>
        <v>0.11180168625447294</v>
      </c>
      <c r="T24" s="10">
        <f t="shared" si="22"/>
        <v>0.12727716019911495</v>
      </c>
    </row>
    <row r="25" spans="1:20" ht="15" customHeight="1" x14ac:dyDescent="0.2">
      <c r="A25" s="6" t="s">
        <v>132</v>
      </c>
      <c r="B25" s="11">
        <f t="shared" ref="B25:J25" si="23">B24+B23</f>
        <v>1314083.0079999997</v>
      </c>
      <c r="C25" s="11">
        <f t="shared" si="23"/>
        <v>2283542.9620000008</v>
      </c>
      <c r="D25" s="11">
        <f t="shared" si="23"/>
        <v>1744596.4870000007</v>
      </c>
      <c r="E25" s="11">
        <f t="shared" si="23"/>
        <v>2011698.2399999986</v>
      </c>
      <c r="F25" s="11">
        <f t="shared" si="23"/>
        <v>1393347.6649999991</v>
      </c>
      <c r="G25" s="11">
        <f t="shared" si="23"/>
        <v>2131820.8389999978</v>
      </c>
      <c r="H25" s="11">
        <f t="shared" si="23"/>
        <v>1293793.2139999999</v>
      </c>
      <c r="I25" s="11">
        <f t="shared" si="23"/>
        <v>1525592.118</v>
      </c>
      <c r="J25" s="11">
        <f t="shared" si="23"/>
        <v>145525.07799999998</v>
      </c>
      <c r="L25" s="12">
        <f t="shared" ref="L25:T25" si="24">IFERROR(B25/B11,"")</f>
        <v>0.18854631005174283</v>
      </c>
      <c r="M25" s="12">
        <f t="shared" si="24"/>
        <v>0.47859311365171819</v>
      </c>
      <c r="N25" s="12">
        <f t="shared" si="24"/>
        <v>0.4802627300751679</v>
      </c>
      <c r="O25" s="12">
        <f t="shared" si="24"/>
        <v>0.31589765874523096</v>
      </c>
      <c r="P25" s="12">
        <f t="shared" si="24"/>
        <v>0.31589765897981237</v>
      </c>
      <c r="Q25" s="12">
        <f t="shared" si="24"/>
        <v>0.31402616065534322</v>
      </c>
      <c r="R25" s="12">
        <f t="shared" si="24"/>
        <v>0.43287837958435232</v>
      </c>
      <c r="S25" s="12">
        <f t="shared" si="24"/>
        <v>1.1720575839782943</v>
      </c>
      <c r="T25" s="12">
        <f t="shared" si="24"/>
        <v>0.13565983042197485</v>
      </c>
    </row>
    <row r="29" spans="1:20" ht="18" customHeight="1" x14ac:dyDescent="0.2">
      <c r="L29" s="263" t="s">
        <v>44</v>
      </c>
      <c r="M29" s="263"/>
      <c r="N29" s="263"/>
      <c r="O29" s="263"/>
      <c r="P29" s="263"/>
      <c r="Q29" s="263"/>
      <c r="R29" s="263"/>
      <c r="S29" s="263"/>
      <c r="T29" s="263"/>
    </row>
    <row r="30" spans="1:20" ht="21.75" customHeight="1" x14ac:dyDescent="0.2">
      <c r="K30" s="249" t="s">
        <v>45</v>
      </c>
      <c r="L30" s="7" t="s">
        <v>46</v>
      </c>
      <c r="M30" s="7" t="s">
        <v>47</v>
      </c>
      <c r="N30" s="7" t="s">
        <v>48</v>
      </c>
      <c r="O30" s="7" t="s">
        <v>49</v>
      </c>
      <c r="P30" s="7" t="s">
        <v>50</v>
      </c>
    </row>
    <row r="31" spans="1:20" ht="15" customHeight="1" x14ac:dyDescent="0.2">
      <c r="K31" s="8" t="s">
        <v>823</v>
      </c>
      <c r="L31" s="10">
        <f>IFERROR((B11-C11)/ABS(C11),"-")</f>
        <v>0.46070333490326199</v>
      </c>
      <c r="M31" s="10">
        <f>IFERROR((D11-E11)/ABS(E11),"-")</f>
        <v>-0.42957351782118192</v>
      </c>
      <c r="N31" s="10">
        <f>IFERROR((F11-G11)/ABS(G11),"-")</f>
        <v>-0.35027704195942477</v>
      </c>
      <c r="O31" s="10">
        <f>IFERROR((H11-I11)/ABS(I11),"-")</f>
        <v>1.2961988063195609</v>
      </c>
      <c r="P31" s="10">
        <f>IFERROR((I11-J11)/ABS(J11),"-")</f>
        <v>0.21339699754794572</v>
      </c>
    </row>
    <row r="32" spans="1:20" ht="15" customHeight="1" x14ac:dyDescent="0.2">
      <c r="K32" s="8" t="s">
        <v>135</v>
      </c>
      <c r="L32" s="10">
        <f>IFERROR((B13-C13)/ABS(C13),"-")</f>
        <v>0.68461563689116933</v>
      </c>
      <c r="M32" s="10">
        <f>IFERROR((D13-E13)/ABS(E13),"-")</f>
        <v>0.77955376316904967</v>
      </c>
      <c r="N32" s="10">
        <f>IFERROR((F13-G13)/ABS(G13),"-")</f>
        <v>3.4328362829199557E-2</v>
      </c>
      <c r="O32" s="10">
        <f>IFERROR((H13-I13)/ABS(I13),"-")</f>
        <v>-6.4989566377871544</v>
      </c>
      <c r="P32" s="10">
        <f>IFERROR((I13-J13)/ABS(J13),"-")</f>
        <v>-1.6549108805751658</v>
      </c>
    </row>
    <row r="33" spans="1:16" ht="15" customHeight="1" x14ac:dyDescent="0.2">
      <c r="K33" s="8" t="s">
        <v>824</v>
      </c>
      <c r="L33" s="10">
        <f>IFERROR((B15-C15)/ABS(C15),"-")</f>
        <v>1.6559521306979732</v>
      </c>
      <c r="M33" s="10">
        <f>IFERROR((D15-E15)/ABS(E15),"-")</f>
        <v>0.65006170714897893</v>
      </c>
      <c r="N33" s="10">
        <f>IFERROR((F15-G15)/ABS(G15),"-")</f>
        <v>0.24514853144037491</v>
      </c>
      <c r="O33" s="10">
        <f>IFERROR((H15-I15)/ABS(I15),"-")</f>
        <v>-4.8175296262329574</v>
      </c>
      <c r="P33" s="10">
        <f>IFERROR((I15-J15)/ABS(J15),"-")</f>
        <v>-0.93343356026669555</v>
      </c>
    </row>
    <row r="34" spans="1:16" ht="15" customHeight="1" x14ac:dyDescent="0.2">
      <c r="K34" s="8" t="s">
        <v>137</v>
      </c>
      <c r="L34" s="10">
        <f>IFERROR((B17-C17)/ABS(C17),"-")</f>
        <v>-80.229737275380671</v>
      </c>
      <c r="M34" s="10">
        <f>IFERROR((D17-E17)/ABS(E17),"-")</f>
        <v>0.95923054590612067</v>
      </c>
      <c r="N34" s="10">
        <f>IFERROR((F17-G17)/ABS(G17),"-")</f>
        <v>0.5119454468446637</v>
      </c>
      <c r="O34" s="10">
        <f>IFERROR((H17-I17)/ABS(I17),"-")</f>
        <v>-2.8115283708274168</v>
      </c>
      <c r="P34" s="10">
        <f>IFERROR((I17-J17)/ABS(J17),"-")</f>
        <v>2.1380076099674321</v>
      </c>
    </row>
    <row r="35" spans="1:16" ht="15" customHeight="1" x14ac:dyDescent="0.2">
      <c r="K35" s="8" t="s">
        <v>138</v>
      </c>
      <c r="L35" s="10">
        <f>IFERROR((B18-C18)/ABS(C18),"-")</f>
        <v>1</v>
      </c>
      <c r="M35" s="10" t="str">
        <f>IFERROR((D18-E18)/ABS(E18),"-")</f>
        <v>-</v>
      </c>
      <c r="N35" s="10" t="str">
        <f>IFERROR((F18-G18)/ABS(G18),"-")</f>
        <v>-</v>
      </c>
      <c r="O35" s="10" t="str">
        <f>IFERROR((H18-I18)/ABS(I18),"-")</f>
        <v>-</v>
      </c>
      <c r="P35" s="10" t="str">
        <f>IFERROR((I18-J18)/ABS(J18),"-")</f>
        <v>-</v>
      </c>
    </row>
    <row r="36" spans="1:16" ht="15" customHeight="1" x14ac:dyDescent="0.2">
      <c r="K36" s="8" t="s">
        <v>825</v>
      </c>
      <c r="L36" s="10">
        <f>IFERROR((B20-C20)/ABS(C20),"-")</f>
        <v>-1.6714878096024992</v>
      </c>
      <c r="M36" s="10">
        <f>IFERROR((D20-E20)/ABS(E20),"-")</f>
        <v>0.35365051531896657</v>
      </c>
      <c r="N36" s="10">
        <f>IFERROR((F20-G20)/ABS(G20),"-")</f>
        <v>0.25859458649213279</v>
      </c>
      <c r="O36" s="10">
        <f>IFERROR((H20-I20)/ABS(I20),"-")</f>
        <v>-6.3801750470361123</v>
      </c>
      <c r="P36" s="10">
        <f>IFERROR((I20-J20)/ABS(J20),"-")</f>
        <v>1.3513908408060635</v>
      </c>
    </row>
    <row r="37" spans="1:16" ht="15" customHeight="1" x14ac:dyDescent="0.2">
      <c r="K37" s="8" t="s">
        <v>140</v>
      </c>
      <c r="L37" s="10">
        <f>IFERROR((B23-C23)/ABS(C23),"-")</f>
        <v>-1.7729302206261086</v>
      </c>
      <c r="M37" s="10">
        <f>IFERROR((D23-E23)/ABS(E23),"-")</f>
        <v>0.74948215177373589</v>
      </c>
      <c r="N37" s="10">
        <f>IFERROR((F23-G23)/ABS(G23),"-")</f>
        <v>0.6303062798757324</v>
      </c>
      <c r="O37" s="10">
        <f t="shared" ref="O37:P39" si="25">IFERROR((H23-I23)/ABS(I23),"-")</f>
        <v>-1.167962060741629</v>
      </c>
      <c r="P37" s="10">
        <f t="shared" si="25"/>
        <v>152.47273466898559</v>
      </c>
    </row>
    <row r="38" spans="1:16" ht="15" customHeight="1" x14ac:dyDescent="0.2">
      <c r="K38" s="8" t="s">
        <v>141</v>
      </c>
      <c r="L38" s="10">
        <f>IFERROR((B24-C24)/ABS(C24),"-")</f>
        <v>-0.13277426437743794</v>
      </c>
      <c r="M38" s="10">
        <f>IFERROR((D24-E24)/ABS(E24),"-")</f>
        <v>-0.34640489511211464</v>
      </c>
      <c r="N38" s="10">
        <f>IFERROR((F24-G24)/ABS(G24),"-")</f>
        <v>-0.48373909362454809</v>
      </c>
      <c r="O38" s="10">
        <f t="shared" si="25"/>
        <v>9.4833623109276051</v>
      </c>
      <c r="P38" s="10">
        <f t="shared" si="25"/>
        <v>6.5861543498817288E-2</v>
      </c>
    </row>
    <row r="39" spans="1:16" ht="15" customHeight="1" x14ac:dyDescent="0.2">
      <c r="K39" s="8" t="s">
        <v>142</v>
      </c>
      <c r="L39" s="10">
        <f>IFERROR((B25-C25)/ABS(C25),"-")</f>
        <v>-0.42454202532319196</v>
      </c>
      <c r="M39" s="10">
        <f>IFERROR((D25-E25)/ABS(E25),"-")</f>
        <v>-0.13277426389755062</v>
      </c>
      <c r="N39" s="10">
        <f>IFERROR((F25-G25)/ABS(G25),"-")</f>
        <v>-0.34640489505037597</v>
      </c>
      <c r="O39" s="10">
        <f t="shared" si="25"/>
        <v>-0.1519402868336005</v>
      </c>
      <c r="P39" s="10">
        <f t="shared" si="25"/>
        <v>9.4833623109276068</v>
      </c>
    </row>
    <row r="41" spans="1:16" ht="15" customHeight="1" x14ac:dyDescent="0.2">
      <c r="A41" s="1" t="s">
        <v>143</v>
      </c>
    </row>
    <row r="42" spans="1:16" ht="30" customHeight="1" x14ac:dyDescent="0.2">
      <c r="A42" s="264" t="s">
        <v>826</v>
      </c>
      <c r="B42" s="264"/>
      <c r="C42" s="264"/>
      <c r="D42" s="264"/>
      <c r="E42" s="264"/>
      <c r="F42" s="264"/>
      <c r="G42" s="264"/>
      <c r="H42" s="264"/>
      <c r="I42" s="264"/>
      <c r="J42" s="264"/>
    </row>
    <row r="43" spans="1:16" ht="30" customHeight="1" x14ac:dyDescent="0.2">
      <c r="A43" s="264" t="s">
        <v>827</v>
      </c>
      <c r="B43" s="264"/>
      <c r="C43" s="264"/>
      <c r="D43" s="264"/>
      <c r="E43" s="264"/>
      <c r="F43" s="264"/>
      <c r="G43" s="264"/>
      <c r="H43" s="264"/>
      <c r="I43" s="264"/>
      <c r="J43" s="264"/>
    </row>
    <row r="44" spans="1:16" ht="30" customHeight="1" x14ac:dyDescent="0.2">
      <c r="A44" s="264" t="s">
        <v>828</v>
      </c>
      <c r="B44" s="264"/>
      <c r="C44" s="264"/>
      <c r="D44" s="264"/>
      <c r="E44" s="264"/>
      <c r="F44" s="264"/>
      <c r="G44" s="264"/>
      <c r="H44" s="264"/>
      <c r="I44" s="264"/>
      <c r="J44" s="264"/>
    </row>
    <row r="45" spans="1:16" ht="30" customHeight="1" x14ac:dyDescent="0.2">
      <c r="A45" s="264" t="s">
        <v>829</v>
      </c>
      <c r="B45" s="264"/>
      <c r="C45" s="264"/>
      <c r="D45" s="264"/>
      <c r="E45" s="264"/>
      <c r="F45" s="264"/>
      <c r="G45" s="264"/>
      <c r="H45" s="264"/>
      <c r="I45" s="264"/>
      <c r="J45" s="264"/>
    </row>
    <row r="46" spans="1:16" ht="30" customHeight="1" x14ac:dyDescent="0.2">
      <c r="A46" s="264" t="s">
        <v>830</v>
      </c>
      <c r="B46" s="264"/>
      <c r="C46" s="264"/>
      <c r="D46" s="264"/>
      <c r="E46" s="264"/>
      <c r="F46" s="264"/>
      <c r="G46" s="264"/>
      <c r="H46" s="264"/>
      <c r="I46" s="264"/>
      <c r="J46" s="264"/>
    </row>
  </sheetData>
  <mergeCells count="11">
    <mergeCell ref="A1:J1"/>
    <mergeCell ref="L1:T1"/>
    <mergeCell ref="A3:J3"/>
    <mergeCell ref="A12:J12"/>
    <mergeCell ref="A16:J16"/>
    <mergeCell ref="A46:J46"/>
    <mergeCell ref="L29:T29"/>
    <mergeCell ref="A42:J42"/>
    <mergeCell ref="A43:J43"/>
    <mergeCell ref="A44:J44"/>
    <mergeCell ref="A45:J4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2"/>
  <sheetViews>
    <sheetView zoomScaleNormal="100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A45" sqref="A45:I52"/>
    </sheetView>
  </sheetViews>
  <sheetFormatPr baseColWidth="10" defaultColWidth="8.6640625" defaultRowHeight="15" x14ac:dyDescent="0.2"/>
  <cols>
    <col min="1" max="1" width="53" customWidth="1"/>
    <col min="2" max="2" width="42" customWidth="1"/>
    <col min="3" max="3" width="29" customWidth="1"/>
    <col min="4" max="9" width="14" customWidth="1"/>
  </cols>
  <sheetData>
    <row r="1" spans="1:9" ht="21.75" customHeight="1" x14ac:dyDescent="0.2">
      <c r="A1" s="254" t="s">
        <v>831</v>
      </c>
      <c r="B1" s="254"/>
      <c r="C1" s="254"/>
      <c r="D1" s="254"/>
      <c r="E1" s="254"/>
      <c r="F1" s="254"/>
      <c r="G1" s="254"/>
      <c r="H1" s="254"/>
      <c r="I1" s="254"/>
    </row>
    <row r="2" spans="1:9" ht="15" customHeight="1" x14ac:dyDescent="0.2">
      <c r="A2" s="6" t="s">
        <v>149</v>
      </c>
      <c r="B2" s="6" t="s">
        <v>150</v>
      </c>
      <c r="C2" s="6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</row>
    <row r="3" spans="1:9" ht="15" customHeight="1" x14ac:dyDescent="0.2">
      <c r="A3" s="253" t="s">
        <v>158</v>
      </c>
      <c r="B3" s="253"/>
      <c r="C3" s="253"/>
      <c r="D3" s="253"/>
      <c r="E3" s="253"/>
      <c r="F3" s="253"/>
      <c r="G3" s="253"/>
      <c r="H3" s="253"/>
      <c r="I3" s="253"/>
    </row>
    <row r="4" spans="1:9" ht="15" customHeight="1" x14ac:dyDescent="0.2">
      <c r="A4" s="8" t="s">
        <v>159</v>
      </c>
      <c r="B4" s="8" t="s">
        <v>160</v>
      </c>
      <c r="C4" s="8" t="s">
        <v>161</v>
      </c>
      <c r="D4" s="18">
        <f>IFERROR(AYDEM_BS!B9/AYDEM_BS!B22,"-")</f>
        <v>1.2365227973142807</v>
      </c>
      <c r="E4" s="18">
        <f>IFERROR(AYDEM_BS!D9/AYDEM_BS!D22,"-")</f>
        <v>0.99916729689889372</v>
      </c>
      <c r="F4" s="18">
        <f>IFERROR(AYDEM_BS!F9/AYDEM_BS!F22,"-")</f>
        <v>2.2707314921537138</v>
      </c>
      <c r="G4" s="18">
        <f>IFERROR(AYDEM_BS!H9/AYDEM_BS!H22,"-")</f>
        <v>1.9070996367904813</v>
      </c>
      <c r="H4" s="18">
        <f>IFERROR(AYDEM_BS!I9/AYDEM_BS!I22,"-")</f>
        <v>1.9854124302430742</v>
      </c>
      <c r="I4" s="18">
        <f>IFERROR(AYDEM_BS!J9/AYDEM_BS!J22,"-")</f>
        <v>0.35848982416313568</v>
      </c>
    </row>
    <row r="5" spans="1:9" ht="15" customHeight="1" x14ac:dyDescent="0.2">
      <c r="A5" s="8" t="s">
        <v>162</v>
      </c>
      <c r="B5" s="8" t="s">
        <v>832</v>
      </c>
      <c r="C5" s="8" t="s">
        <v>164</v>
      </c>
      <c r="D5" s="18">
        <f>IFERROR((AYDEM_BS!B5+AYDEM_BS!B6+AYDEM_BS!B7)/AYDEM_BS!B22,"-")</f>
        <v>1.1136130618398612</v>
      </c>
      <c r="E5" s="18">
        <f>IFERROR((AYDEM_BS!D5+AYDEM_BS!D6+AYDEM_BS!D7)/AYDEM_BS!D22,"-")</f>
        <v>0.95773509879511831</v>
      </c>
      <c r="F5" s="18">
        <f>IFERROR((AYDEM_BS!F5+AYDEM_BS!F6+AYDEM_BS!F7)/AYDEM_BS!F22,"-")</f>
        <v>1.9269739622389721</v>
      </c>
      <c r="G5" s="18">
        <f>IFERROR((AYDEM_BS!H5+AYDEM_BS!H6+AYDEM_BS!H7)/AYDEM_BS!H22,"-")</f>
        <v>1.8479146259479269</v>
      </c>
      <c r="H5" s="18">
        <f>IFERROR((AYDEM_BS!I5+AYDEM_BS!I6+AYDEM_BS!I7)/AYDEM_BS!I22,"-")</f>
        <v>1.9120113113032522</v>
      </c>
      <c r="I5" s="18">
        <f>IFERROR((AYDEM_BS!J5+AYDEM_BS!J6+AYDEM_BS!J7)/AYDEM_BS!J22,"-")</f>
        <v>0.22090210677419628</v>
      </c>
    </row>
    <row r="6" spans="1:9" ht="15" customHeight="1" x14ac:dyDescent="0.2">
      <c r="A6" s="8" t="s">
        <v>165</v>
      </c>
      <c r="B6" s="8" t="s">
        <v>166</v>
      </c>
      <c r="C6" s="8" t="s">
        <v>167</v>
      </c>
      <c r="D6" s="18">
        <f>IFERROR((AYDEM_BS!B5+AYDEM_BS!B6)/AYDEM_BS!B22,"-")</f>
        <v>0.48756313262355183</v>
      </c>
      <c r="E6" s="18">
        <f>IFERROR((AYDEM_BS!D5+AYDEM_BS!D6)/AYDEM_BS!D22,"-")</f>
        <v>0.49437422005095244</v>
      </c>
      <c r="F6" s="18">
        <f>IFERROR((AYDEM_BS!F5+AYDEM_BS!F6)/AYDEM_BS!F22,"-")</f>
        <v>0.96801593959500376</v>
      </c>
      <c r="G6" s="18">
        <f>IFERROR((AYDEM_BS!H5+AYDEM_BS!H6)/AYDEM_BS!H22,"-")</f>
        <v>1.0319074995860904</v>
      </c>
      <c r="H6" s="18">
        <f>IFERROR((AYDEM_BS!I5+AYDEM_BS!I6)/AYDEM_BS!I22,"-")</f>
        <v>1.7433708805118122</v>
      </c>
      <c r="I6" s="18">
        <f>IFERROR((AYDEM_BS!J5+AYDEM_BS!J6)/AYDEM_BS!J22,"-")</f>
        <v>0.16036411619216945</v>
      </c>
    </row>
    <row r="7" spans="1:9" ht="15" customHeight="1" x14ac:dyDescent="0.2">
      <c r="A7" s="253" t="s">
        <v>168</v>
      </c>
      <c r="B7" s="253"/>
      <c r="C7" s="253"/>
      <c r="D7" s="253"/>
      <c r="E7" s="253"/>
      <c r="F7" s="253"/>
      <c r="G7" s="253"/>
      <c r="H7" s="253"/>
      <c r="I7" s="253"/>
    </row>
    <row r="8" spans="1:9" ht="15" customHeight="1" x14ac:dyDescent="0.2">
      <c r="A8" s="8" t="s">
        <v>169</v>
      </c>
      <c r="B8" s="8" t="s">
        <v>170</v>
      </c>
      <c r="C8" s="8" t="s">
        <v>171</v>
      </c>
      <c r="D8" s="10">
        <f>IFERROR(AYDEM_BS!B27/AYDEM_BS!B16,"-")</f>
        <v>0.46320507170620495</v>
      </c>
      <c r="E8" s="10">
        <f>IFERROR(AYDEM_BS!D27/AYDEM_BS!D16,"-")</f>
        <v>0.51498902750775333</v>
      </c>
      <c r="F8" s="10">
        <f>IFERROR(AYDEM_BS!F27/AYDEM_BS!F16,"-")</f>
        <v>0.48530067214707451</v>
      </c>
      <c r="G8" s="10">
        <f>IFERROR(AYDEM_BS!H27/AYDEM_BS!H16,"-")</f>
        <v>0.51742316444384762</v>
      </c>
      <c r="H8" s="10">
        <f>IFERROR(AYDEM_BS!I27/AYDEM_BS!I16,"-")</f>
        <v>0.56490592248102811</v>
      </c>
      <c r="I8" s="10">
        <f>IFERROR(AYDEM_BS!J27/AYDEM_BS!J16,"-")</f>
        <v>0.52746414801976693</v>
      </c>
    </row>
    <row r="9" spans="1:9" ht="15" customHeight="1" x14ac:dyDescent="0.2">
      <c r="A9" s="8" t="s">
        <v>172</v>
      </c>
      <c r="B9" s="8" t="s">
        <v>173</v>
      </c>
      <c r="C9" s="8" t="s">
        <v>174</v>
      </c>
      <c r="D9" s="18">
        <f>IFERROR(AYDEM_BS!B27/AYDEM_BS!B33,"-")</f>
        <v>0.86290880798465097</v>
      </c>
      <c r="E9" s="18">
        <f>IFERROR(AYDEM_BS!D27/AYDEM_BS!D33,"-")</f>
        <v>1.0618090243638478</v>
      </c>
      <c r="F9" s="18">
        <f>IFERROR(AYDEM_BS!F27/AYDEM_BS!F33,"-")</f>
        <v>0.94288188440329268</v>
      </c>
      <c r="G9" s="18">
        <f>IFERROR(AYDEM_BS!H27/AYDEM_BS!H33,"-")</f>
        <v>1.0722088718732967</v>
      </c>
      <c r="H9" s="18">
        <f>IFERROR(AYDEM_BS!I27/AYDEM_BS!I33,"-")</f>
        <v>1.2983535094347403</v>
      </c>
      <c r="I9" s="18">
        <f>IFERROR(AYDEM_BS!J27/AYDEM_BS!J33,"-")</f>
        <v>1.116241541904913</v>
      </c>
    </row>
    <row r="10" spans="1:9" ht="15" customHeight="1" x14ac:dyDescent="0.2">
      <c r="A10" s="8" t="s">
        <v>175</v>
      </c>
      <c r="B10" s="8" t="s">
        <v>176</v>
      </c>
      <c r="C10" s="8" t="s">
        <v>177</v>
      </c>
      <c r="D10" s="18">
        <f>IFERROR((AYDEM_BS!B19+AYDEM_BS!B24)/AYDEM_BS!B33,"-")</f>
        <v>0.63200888554968171</v>
      </c>
      <c r="E10" s="18">
        <f>IFERROR((AYDEM_BS!D19+AYDEM_BS!D24)/AYDEM_BS!D33,"-")</f>
        <v>0.89059319139908844</v>
      </c>
      <c r="F10" s="18">
        <f>IFERROR((AYDEM_BS!F19+AYDEM_BS!F24)/AYDEM_BS!F33,"-")</f>
        <v>0.70414356252359334</v>
      </c>
      <c r="G10" s="18">
        <f>IFERROR((AYDEM_BS!H19+AYDEM_BS!H24)/AYDEM_BS!H33,"-")</f>
        <v>0.77395451436250862</v>
      </c>
      <c r="H10" s="18">
        <f>IFERROR((AYDEM_BS!I19+AYDEM_BS!I24)/AYDEM_BS!I33,"-")</f>
        <v>1.0288692469374632</v>
      </c>
      <c r="I10" s="18">
        <f>IFERROR((AYDEM_BS!J19+AYDEM_BS!J24)/AYDEM_BS!J33,"-")</f>
        <v>0.83920724515654621</v>
      </c>
    </row>
    <row r="11" spans="1:9" ht="15" customHeight="1" x14ac:dyDescent="0.2">
      <c r="A11" s="8" t="s">
        <v>178</v>
      </c>
      <c r="B11" s="8" t="s">
        <v>179</v>
      </c>
      <c r="C11" s="8" t="s">
        <v>180</v>
      </c>
      <c r="D11" s="18">
        <f>IFERROR((AYDEM_BS!B19+AYDEM_BS!B24-AYDEM_BS!B5-AYDEM_BS!B6)/AYDEM_PLS!B13,"-")</f>
        <v>4.3608585059901861</v>
      </c>
      <c r="E11" s="18">
        <f>IFERROR((AYDEM_BS!D19+AYDEM_BS!D24-AYDEM_BS!D5-AYDEM_BS!D6)/AYDEM_PLS!D13,"-")</f>
        <v>-1.4924709050674734</v>
      </c>
      <c r="F11" s="18">
        <f>IFERROR((AYDEM_BS!F19+AYDEM_BS!F24-AYDEM_BS!F5-AYDEM_BS!F6)/AYDEM_PLS!F13,"-")</f>
        <v>9.9130956999515671</v>
      </c>
      <c r="G11" s="18">
        <f>IFERROR((AYDEM_BS!H19+AYDEM_BS!H24-AYDEM_BS!H5-AYDEM_BS!H6)/AYDEM_PLS!H13,"-")</f>
        <v>3.3270353363876555</v>
      </c>
      <c r="H11" s="18">
        <f>IFERROR((AYDEM_BS!I19+AYDEM_BS!I24-AYDEM_BS!I5-AYDEM_BS!I6)/AYDEM_PLS!I13,"-")</f>
        <v>9.4078987694134693</v>
      </c>
      <c r="I11" s="18">
        <f>IFERROR((AYDEM_BS!J19+AYDEM_BS!J24-AYDEM_BS!J5-AYDEM_BS!J6)/AYDEM_PLS!J13,"-")</f>
        <v>4.699592443578994</v>
      </c>
    </row>
    <row r="12" spans="1:9" ht="15" customHeight="1" x14ac:dyDescent="0.2">
      <c r="A12" s="8" t="s">
        <v>181</v>
      </c>
      <c r="B12" s="8" t="s">
        <v>833</v>
      </c>
      <c r="C12" s="8" t="s">
        <v>183</v>
      </c>
      <c r="D12" s="18">
        <f>IFERROR(AYDEM_PLS!B11/ABS(AYDEM_PLS!B14),"-")</f>
        <v>0.22199151524614991</v>
      </c>
      <c r="E12" s="18">
        <f>IFERROR(AYDEM_PLS!D11/ABS(AYDEM_PLS!D14),"-")</f>
        <v>-2.7811815213935112</v>
      </c>
      <c r="F12" s="18">
        <f>IFERROR(AYDEM_PLS!F11/ABS(AYDEM_PLS!F14),"-")</f>
        <v>-2.4731364484243696E-2</v>
      </c>
      <c r="G12" s="18">
        <f>IFERROR(AYDEM_PLS!H11/ABS(AYDEM_PLS!H14),"-")</f>
        <v>2.1114981391047132</v>
      </c>
      <c r="H12" s="18">
        <f>IFERROR(AYDEM_PLS!I11/ABS(AYDEM_PLS!I14),"-")</f>
        <v>0.96945884254136494</v>
      </c>
      <c r="I12" s="18">
        <f>IFERROR(AYDEM_PLS!J11/ABS(AYDEM_PLS!J14),"-")</f>
        <v>0.48219137228894199</v>
      </c>
    </row>
    <row r="13" spans="1:9" ht="15" customHeight="1" x14ac:dyDescent="0.2">
      <c r="A13" s="8" t="s">
        <v>184</v>
      </c>
      <c r="B13" s="8" t="s">
        <v>185</v>
      </c>
      <c r="C13" s="8" t="s">
        <v>186</v>
      </c>
      <c r="D13" s="18">
        <f>IFERROR(AYDEM_BS!B16/AYDEM_BS!B33,"-")</f>
        <v>1.8629088079846507</v>
      </c>
      <c r="E13" s="18">
        <f>IFERROR(AYDEM_BS!D16/AYDEM_BS!D33,"-")</f>
        <v>2.0618090243638476</v>
      </c>
      <c r="F13" s="18">
        <f>IFERROR(AYDEM_BS!F16/AYDEM_BS!F33,"-")</f>
        <v>1.9428818844032927</v>
      </c>
      <c r="G13" s="18">
        <f>IFERROR(AYDEM_BS!H16/AYDEM_BS!H33,"-")</f>
        <v>2.0722088718732969</v>
      </c>
      <c r="H13" s="18">
        <f>IFERROR(AYDEM_BS!I16/AYDEM_BS!I33,"-")</f>
        <v>2.2983535094347403</v>
      </c>
      <c r="I13" s="18">
        <f>IFERROR(AYDEM_BS!J16/AYDEM_BS!J33,"-")</f>
        <v>2.116241541904913</v>
      </c>
    </row>
    <row r="14" spans="1:9" ht="15" customHeight="1" x14ac:dyDescent="0.2">
      <c r="A14" s="253" t="s">
        <v>187</v>
      </c>
      <c r="B14" s="253"/>
      <c r="C14" s="253"/>
      <c r="D14" s="253"/>
      <c r="E14" s="253"/>
      <c r="F14" s="253"/>
      <c r="G14" s="253"/>
      <c r="H14" s="253"/>
      <c r="I14" s="253"/>
    </row>
    <row r="15" spans="1:9" ht="15" customHeight="1" x14ac:dyDescent="0.2">
      <c r="A15" s="8" t="s">
        <v>188</v>
      </c>
      <c r="B15" s="8" t="s">
        <v>189</v>
      </c>
      <c r="C15" s="8" t="s">
        <v>190</v>
      </c>
      <c r="D15" s="10">
        <f>IFERROR(AYDEM_PLS!B6/AYDEM_PLS!B4,"-")</f>
        <v>0.21750655957648754</v>
      </c>
      <c r="E15" s="10">
        <f>IFERROR(AYDEM_PLS!D6/AYDEM_PLS!D4,"-")</f>
        <v>0.24402099068024546</v>
      </c>
      <c r="F15" s="10">
        <f>IFERROR(AYDEM_PLS!F6/AYDEM_PLS!F4,"-")</f>
        <v>0.43213667218118568</v>
      </c>
      <c r="G15" s="10">
        <f>IFERROR(AYDEM_PLS!H6/AYDEM_PLS!H4,"-")</f>
        <v>0.63096959630863614</v>
      </c>
      <c r="H15" s="10">
        <f>IFERROR(AYDEM_PLS!I6/AYDEM_PLS!I4,"-")</f>
        <v>0.41505825801494201</v>
      </c>
      <c r="I15" s="10">
        <f>IFERROR(AYDEM_PLS!J6/AYDEM_PLS!J4,"-")</f>
        <v>0.57010078960553867</v>
      </c>
    </row>
    <row r="16" spans="1:9" ht="15" customHeight="1" x14ac:dyDescent="0.2">
      <c r="A16" s="8" t="s">
        <v>191</v>
      </c>
      <c r="B16" s="8" t="s">
        <v>192</v>
      </c>
      <c r="C16" s="8" t="s">
        <v>193</v>
      </c>
      <c r="D16" s="10">
        <f>IFERROR(AYDEM_PLS!B13/AYDEM_PLS!B4,"-")</f>
        <v>0.38849231175690102</v>
      </c>
      <c r="E16" s="10">
        <f>IFERROR(AYDEM_PLS!D13/AYDEM_PLS!D4,"-")</f>
        <v>-2.1370146071918694</v>
      </c>
      <c r="F16" s="10">
        <f>IFERROR(AYDEM_PLS!F13/AYDEM_PLS!F4,"-")</f>
        <v>0.28766547206422516</v>
      </c>
      <c r="G16" s="10">
        <f>IFERROR(AYDEM_PLS!H13/AYDEM_PLS!H4,"-")</f>
        <v>0.91315839443517144</v>
      </c>
      <c r="H16" s="10">
        <f>IFERROR(AYDEM_PLS!I13/AYDEM_PLS!I4,"-")</f>
        <v>0.73315018557781131</v>
      </c>
      <c r="I16" s="10">
        <f>IFERROR(AYDEM_PLS!J13/AYDEM_PLS!J4,"-")</f>
        <v>0.76196752780471233</v>
      </c>
    </row>
    <row r="17" spans="1:9" ht="15" customHeight="1" x14ac:dyDescent="0.2">
      <c r="A17" s="8" t="s">
        <v>194</v>
      </c>
      <c r="B17" s="8" t="s">
        <v>195</v>
      </c>
      <c r="C17" s="8" t="s">
        <v>196</v>
      </c>
      <c r="D17" s="10">
        <f>IFERROR(AYDEM_PLS!B11/AYDEM_PLS!B4,"-")</f>
        <v>0.17086647503728028</v>
      </c>
      <c r="E17" s="10">
        <f>IFERROR(AYDEM_PLS!D11/AYDEM_PLS!D4,"-")</f>
        <v>-2.5940295134855531</v>
      </c>
      <c r="F17" s="10">
        <f>IFERROR(AYDEM_PLS!F11/AYDEM_PLS!F4,"-")</f>
        <v>-4.7254290139327672E-2</v>
      </c>
      <c r="G17" s="10">
        <f>IFERROR(AYDEM_PLS!H11/AYDEM_PLS!H4,"-")</f>
        <v>0.7105818050728232</v>
      </c>
      <c r="H17" s="10">
        <f>IFERROR(AYDEM_PLS!I11/AYDEM_PLS!I4,"-")</f>
        <v>0.36668208665264518</v>
      </c>
      <c r="I17" s="10">
        <f>IFERROR(AYDEM_PLS!J11/AYDEM_PLS!J4,"-")</f>
        <v>0.4963977359345742</v>
      </c>
    </row>
    <row r="18" spans="1:9" ht="15" customHeight="1" x14ac:dyDescent="0.2">
      <c r="A18" s="8" t="s">
        <v>197</v>
      </c>
      <c r="B18" s="8" t="s">
        <v>198</v>
      </c>
      <c r="C18" s="8" t="s">
        <v>199</v>
      </c>
      <c r="D18" s="10">
        <f>IFERROR(AYDEM_PLS!B20/AYDEM_PLS!B4,"-")</f>
        <v>-0.21702572358355751</v>
      </c>
      <c r="E18" s="10">
        <f>IFERROR(AYDEM_PLS!D20/AYDEM_PLS!D4,"-")</f>
        <v>-1.7878240530257765</v>
      </c>
      <c r="F18" s="10">
        <f>IFERROR(AYDEM_PLS!F20/AYDEM_PLS!F4,"-")</f>
        <v>-0.20131107891838182</v>
      </c>
      <c r="G18" s="10">
        <f>IFERROR(AYDEM_PLS!H20/AYDEM_PLS!H4,"-")</f>
        <v>0.26736136975296965</v>
      </c>
      <c r="H18" s="10">
        <f>IFERROR(AYDEM_PLS!I20/AYDEM_PLS!I4,"-")</f>
        <v>-9.6950482016733522E-2</v>
      </c>
      <c r="I18" s="10">
        <f>IFERROR(AYDEM_PLS!J20/AYDEM_PLS!J4,"-")</f>
        <v>-0.42322549631313205</v>
      </c>
    </row>
    <row r="19" spans="1:9" ht="15" customHeight="1" x14ac:dyDescent="0.2">
      <c r="A19" s="8" t="s">
        <v>200</v>
      </c>
      <c r="B19" s="8" t="s">
        <v>201</v>
      </c>
      <c r="C19" s="8" t="s">
        <v>202</v>
      </c>
      <c r="D19" s="10">
        <f>IFERROR(AYDEM_PLS!B20/AYDEM_BS!B16,"-")</f>
        <v>-4.0909001462966998E-2</v>
      </c>
      <c r="E19" s="10">
        <f>IFERROR(AYDEM_PLS!D20/AYDEM_BS!D16,"-")</f>
        <v>-0.20861311877447114</v>
      </c>
      <c r="F19" s="10">
        <f>IFERROR(AYDEM_PLS!F20/AYDEM_BS!F16,"-")</f>
        <v>-2.3020581523488296E-2</v>
      </c>
      <c r="G19" s="10">
        <f>IFERROR(AYDEM_PLS!H20/AYDEM_BS!H16,"-")</f>
        <v>2.8767422520153366E-2</v>
      </c>
      <c r="H19" s="10">
        <f>IFERROR(AYDEM_PLS!I20/AYDEM_BS!I16,"-")</f>
        <v>-5.3388546727696252E-3</v>
      </c>
      <c r="I19" s="10">
        <f>IFERROR(AYDEM_PLS!J20/AYDEM_BS!J16,"-")</f>
        <v>-4.5489110582027481E-2</v>
      </c>
    </row>
    <row r="20" spans="1:9" ht="15" customHeight="1" x14ac:dyDescent="0.2">
      <c r="A20" s="8" t="s">
        <v>203</v>
      </c>
      <c r="B20" s="8" t="s">
        <v>204</v>
      </c>
      <c r="C20" s="8" t="s">
        <v>205</v>
      </c>
      <c r="D20" s="10">
        <f>IFERROR(AYDEM_PLS!B20/AYDEM_BS!B33,"-")</f>
        <v>-7.6209739151218189E-2</v>
      </c>
      <c r="E20" s="10">
        <f>IFERROR(AYDEM_PLS!D20/AYDEM_BS!D33,"-")</f>
        <v>-0.43012041088989184</v>
      </c>
      <c r="F20" s="10">
        <f>IFERROR(AYDEM_PLS!F20/AYDEM_BS!F33,"-")</f>
        <v>-4.472627081041456E-2</v>
      </c>
      <c r="G20" s="10">
        <f>IFERROR(AYDEM_PLS!H20/AYDEM_BS!H33,"-")</f>
        <v>5.9612108167189475E-2</v>
      </c>
      <c r="H20" s="10">
        <f>IFERROR(AYDEM_PLS!I20/AYDEM_BS!I33,"-")</f>
        <v>-1.2270575373522129E-2</v>
      </c>
      <c r="I20" s="10">
        <f>IFERROR(AYDEM_PLS!J20/AYDEM_BS!J33,"-")</f>
        <v>-9.6265945517992932E-2</v>
      </c>
    </row>
    <row r="21" spans="1:9" ht="15" customHeight="1" x14ac:dyDescent="0.2">
      <c r="A21" s="8" t="s">
        <v>206</v>
      </c>
      <c r="B21" s="8" t="s">
        <v>207</v>
      </c>
      <c r="C21" s="8" t="s">
        <v>208</v>
      </c>
      <c r="D21" s="18">
        <f>IFERROR((AYDEM_PLS!B20/AYDEM_BS!B33)/(AYDEM_PLS!B20/AYDEM_BS!B16),"-")</f>
        <v>1.862908807984651</v>
      </c>
      <c r="E21" s="18">
        <f>IFERROR((AYDEM_PLS!D20/AYDEM_BS!D33)/(AYDEM_PLS!D20/AYDEM_BS!D16),"-")</f>
        <v>2.0618090243638476</v>
      </c>
      <c r="F21" s="18">
        <f>IFERROR((AYDEM_PLS!F20/AYDEM_BS!F33)/(AYDEM_PLS!F20/AYDEM_BS!F16),"-")</f>
        <v>1.9428818844032925</v>
      </c>
      <c r="G21" s="18">
        <f>IFERROR((AYDEM_PLS!H20/AYDEM_BS!H33)/(AYDEM_PLS!H20/AYDEM_BS!H16),"-")</f>
        <v>2.0722088718732965</v>
      </c>
      <c r="H21" s="18">
        <f>IFERROR((AYDEM_PLS!I20/AYDEM_BS!I33)/(AYDEM_PLS!I20/AYDEM_BS!I16),"-")</f>
        <v>2.2983535094347398</v>
      </c>
      <c r="I21" s="18">
        <f>IFERROR((AYDEM_PLS!J20/AYDEM_BS!J33)/(AYDEM_PLS!J20/AYDEM_BS!J16),"-")</f>
        <v>2.116241541904913</v>
      </c>
    </row>
    <row r="22" spans="1:9" ht="15" customHeight="1" x14ac:dyDescent="0.2">
      <c r="A22" s="253" t="s">
        <v>209</v>
      </c>
      <c r="B22" s="253"/>
      <c r="C22" s="253"/>
      <c r="D22" s="253"/>
      <c r="E22" s="253"/>
      <c r="F22" s="253"/>
      <c r="G22" s="253"/>
      <c r="H22" s="253"/>
      <c r="I22" s="253"/>
    </row>
    <row r="23" spans="1:9" ht="15" customHeight="1" x14ac:dyDescent="0.2">
      <c r="A23" s="8" t="s">
        <v>210</v>
      </c>
      <c r="B23" s="8" t="s">
        <v>211</v>
      </c>
      <c r="C23" s="8" t="s">
        <v>212</v>
      </c>
      <c r="D23" s="18">
        <f>IFERROR(AYDEM_PLS!B4/AYDEM_BS!B16,"-")</f>
        <v>0.18849839911818814</v>
      </c>
      <c r="E23" s="18">
        <f>IFERROR(AYDEM_PLS!D4/AYDEM_BS!D16,"-")</f>
        <v>0.11668548614803954</v>
      </c>
      <c r="F23" s="18">
        <f>IFERROR(AYDEM_PLS!F4/AYDEM_BS!F16,"-")</f>
        <v>0.11435327676536672</v>
      </c>
      <c r="G23" s="18">
        <f>IFERROR(AYDEM_PLS!H4/AYDEM_BS!H16,"-")</f>
        <v>0.10759752819464241</v>
      </c>
      <c r="H23" s="18">
        <f>IFERROR(AYDEM_PLS!I4/AYDEM_BS!I16,"-")</f>
        <v>5.5067850738979782E-2</v>
      </c>
      <c r="I23" s="18">
        <f>IFERROR(AYDEM_PLS!J4/AYDEM_BS!J16,"-")</f>
        <v>0.10748197114375035</v>
      </c>
    </row>
    <row r="24" spans="1:9" ht="15" customHeight="1" x14ac:dyDescent="0.2">
      <c r="A24" s="8" t="s">
        <v>213</v>
      </c>
      <c r="B24" s="8" t="s">
        <v>214</v>
      </c>
      <c r="C24" s="8" t="s">
        <v>215</v>
      </c>
      <c r="D24" s="18">
        <f>IFERROR(AYDEM_PLS!B4/AYDEM_BS!B7,"-")</f>
        <v>7.37223298144779</v>
      </c>
      <c r="E24" s="18">
        <f>IFERROR(AYDEM_PLS!D4/AYDEM_BS!D7,"-")</f>
        <v>2.0823143825295012</v>
      </c>
      <c r="F24" s="18">
        <f>IFERROR(AYDEM_PLS!F4/AYDEM_BS!F7,"-")</f>
        <v>3.1777003217060091</v>
      </c>
      <c r="G24" s="18">
        <f>IFERROR(AYDEM_PLS!H4/AYDEM_BS!H7,"-")</f>
        <v>2.919907470863369</v>
      </c>
      <c r="H24" s="18">
        <f>IFERROR(AYDEM_PLS!I4/AYDEM_BS!I7,"-")</f>
        <v>8.3927802981904218</v>
      </c>
      <c r="I24" s="18">
        <f>IFERROR(AYDEM_PLS!J4/AYDEM_BS!J7,"-")</f>
        <v>24.398759386433035</v>
      </c>
    </row>
    <row r="25" spans="1:9" ht="15" customHeight="1" x14ac:dyDescent="0.2">
      <c r="A25" s="8" t="s">
        <v>216</v>
      </c>
      <c r="B25" s="8" t="s">
        <v>217</v>
      </c>
      <c r="C25" s="8" t="s">
        <v>218</v>
      </c>
      <c r="D25" s="19">
        <f>IFERROR(365/(AYDEM_PLS!B4/AYDEM_BS!B7),"-")</f>
        <v>49.51010106687103</v>
      </c>
      <c r="E25" s="19">
        <f>IFERROR(365/(AYDEM_PLS!D4/AYDEM_BS!D7),"-")</f>
        <v>175.2857316178235</v>
      </c>
      <c r="F25" s="19">
        <f>IFERROR(365/(AYDEM_PLS!F4/AYDEM_BS!F7),"-")</f>
        <v>114.8629395625459</v>
      </c>
      <c r="G25" s="19">
        <f>IFERROR(365/(AYDEM_PLS!H4/AYDEM_BS!H7),"-")</f>
        <v>125.00396113308189</v>
      </c>
      <c r="H25" s="19">
        <f>IFERROR(365/(AYDEM_PLS!I4/AYDEM_BS!I7),"-")</f>
        <v>43.489759892642269</v>
      </c>
      <c r="I25" s="19">
        <f>IFERROR(365/(AYDEM_PLS!J4/AYDEM_BS!J7),"-")</f>
        <v>14.959777020587316</v>
      </c>
    </row>
    <row r="26" spans="1:9" ht="15" customHeight="1" x14ac:dyDescent="0.2">
      <c r="A26" s="8" t="s">
        <v>225</v>
      </c>
      <c r="B26" s="8" t="s">
        <v>226</v>
      </c>
      <c r="C26" s="8" t="s">
        <v>227</v>
      </c>
      <c r="D26" s="18">
        <f>IFERROR(AYDEM_PLS!B4/AYDEM_BS!B20,"-")</f>
        <v>43.889185495988578</v>
      </c>
      <c r="E26" s="18">
        <f>IFERROR(AYDEM_PLS!D4/AYDEM_BS!D20,"-")</f>
        <v>28.692777463427984</v>
      </c>
      <c r="F26" s="18">
        <f>IFERROR(AYDEM_PLS!F4/AYDEM_BS!F20,"-")</f>
        <v>15.770802972305248</v>
      </c>
      <c r="G26" s="18">
        <f>IFERROR(AYDEM_PLS!H4/AYDEM_BS!H20,"-")</f>
        <v>8.0135755460624107</v>
      </c>
      <c r="H26" s="18">
        <f>IFERROR(AYDEM_PLS!I4/AYDEM_BS!I20,"-")</f>
        <v>18.206769492408249</v>
      </c>
      <c r="I26" s="18">
        <f>IFERROR(AYDEM_PLS!J4/AYDEM_BS!J20,"-")</f>
        <v>26.99954738059968</v>
      </c>
    </row>
    <row r="27" spans="1:9" ht="15" customHeight="1" x14ac:dyDescent="0.2">
      <c r="A27" s="8" t="s">
        <v>834</v>
      </c>
      <c r="B27" s="8" t="s">
        <v>835</v>
      </c>
      <c r="C27" s="8" t="s">
        <v>836</v>
      </c>
      <c r="D27" s="19">
        <f>IFERROR(365/(AYDEM_PLS!B4/AYDEM_BS!B20),"-")</f>
        <v>8.3163994928399987</v>
      </c>
      <c r="E27" s="19">
        <f>IFERROR(365/(AYDEM_PLS!D4/AYDEM_BS!D20),"-")</f>
        <v>12.720971347762745</v>
      </c>
      <c r="F27" s="19">
        <f>IFERROR(365/(AYDEM_PLS!F4/AYDEM_BS!F20),"-")</f>
        <v>23.144033987423995</v>
      </c>
      <c r="G27" s="19">
        <f>IFERROR(365/(AYDEM_PLS!H4/AYDEM_BS!H20),"-")</f>
        <v>45.547708123791033</v>
      </c>
      <c r="H27" s="19">
        <f>IFERROR(365/(AYDEM_PLS!I4/AYDEM_BS!I20),"-")</f>
        <v>20.047488388986061</v>
      </c>
      <c r="I27" s="19">
        <f>IFERROR(365/(AYDEM_PLS!J4/AYDEM_BS!J20),"-")</f>
        <v>13.518745142456277</v>
      </c>
    </row>
    <row r="28" spans="1:9" ht="15" customHeight="1" x14ac:dyDescent="0.2">
      <c r="A28" s="253" t="s">
        <v>228</v>
      </c>
      <c r="B28" s="253"/>
      <c r="C28" s="253"/>
      <c r="D28" s="253"/>
      <c r="E28" s="253"/>
      <c r="F28" s="253"/>
      <c r="G28" s="253"/>
      <c r="H28" s="253"/>
      <c r="I28" s="253"/>
    </row>
    <row r="29" spans="1:9" ht="15" customHeight="1" x14ac:dyDescent="0.2">
      <c r="A29" s="8" t="s">
        <v>229</v>
      </c>
      <c r="B29" s="8" t="s">
        <v>230</v>
      </c>
      <c r="C29" s="8" t="s">
        <v>231</v>
      </c>
      <c r="D29" s="18">
        <f>IFERROR(AYDEM_CFS!B11/AYDEM_PLS!B20,"-")</f>
        <v>-2.4855096205810705</v>
      </c>
      <c r="E29" s="18">
        <f>IFERROR(AYDEM_CFS!D11/AYDEM_PLS!D20,"-")</f>
        <v>-0.30862377161799603</v>
      </c>
      <c r="F29" s="18">
        <f>IFERROR(AYDEM_CFS!F11/AYDEM_PLS!F20,"-")</f>
        <v>-3.4456329050885572</v>
      </c>
      <c r="G29" s="18">
        <f>IFERROR(AYDEM_CFS!H11/AYDEM_PLS!H20,"-")</f>
        <v>2.9357635718625374</v>
      </c>
      <c r="H29" s="18">
        <f>IFERROR(AYDEM_CFS!I11/AYDEM_PLS!I20,"-")</f>
        <v>-10.820667221762044</v>
      </c>
      <c r="I29" s="18">
        <f>IFERROR(AYDEM_CFS!J11/AYDEM_PLS!J20,"-")</f>
        <v>-1.8909861878338454</v>
      </c>
    </row>
    <row r="30" spans="1:9" ht="15" customHeight="1" x14ac:dyDescent="0.2">
      <c r="A30" s="8" t="s">
        <v>232</v>
      </c>
      <c r="B30" s="8" t="s">
        <v>837</v>
      </c>
      <c r="C30" s="8" t="s">
        <v>234</v>
      </c>
      <c r="D30" s="18">
        <f>IFERROR(AYDEM_PLS!B13/ABS(AYDEM_PLS!B14),"-")</f>
        <v>0.50473328328203371</v>
      </c>
      <c r="E30" s="18">
        <f>IFERROR(AYDEM_PLS!D13/ABS(AYDEM_PLS!D14),"-")</f>
        <v>-2.2911942618894727</v>
      </c>
      <c r="F30" s="18">
        <f>IFERROR(AYDEM_PLS!F13/ABS(AYDEM_PLS!F14),"-")</f>
        <v>0.15055478810867598</v>
      </c>
      <c r="G30" s="18">
        <f>IFERROR(AYDEM_PLS!H13/ABS(AYDEM_PLS!H14),"-")</f>
        <v>2.7134557017824421</v>
      </c>
      <c r="H30" s="18">
        <f>IFERROR(AYDEM_PLS!I13/ABS(AYDEM_PLS!I14),"-")</f>
        <v>1.9383519298900131</v>
      </c>
      <c r="I30" s="18">
        <f>IFERROR(AYDEM_PLS!J13/ABS(AYDEM_PLS!J14),"-")</f>
        <v>0.7401608453753955</v>
      </c>
    </row>
    <row r="31" spans="1:9" ht="15" customHeight="1" x14ac:dyDescent="0.2">
      <c r="A31" s="8" t="s">
        <v>235</v>
      </c>
      <c r="B31" s="8" t="s">
        <v>236</v>
      </c>
      <c r="C31" s="8" t="s">
        <v>237</v>
      </c>
      <c r="D31" s="10">
        <f>IFERROR((AYDEM_CFS!B11+AYDEM_CFS!B13)/AYDEM_PLS!B4,"-")</f>
        <v>0.51735946409742617</v>
      </c>
      <c r="E31" s="10">
        <f>IFERROR((AYDEM_CFS!D11+AYDEM_CFS!D13)/AYDEM_PLS!D4,"-")</f>
        <v>0.44689084652235</v>
      </c>
      <c r="F31" s="10">
        <f>IFERROR((AYDEM_CFS!F11+AYDEM_CFS!F13)/AYDEM_PLS!F4,"-")</f>
        <v>0.35249201598765062</v>
      </c>
      <c r="G31" s="10">
        <f>IFERROR((AYDEM_CFS!H11+AYDEM_CFS!H13)/AYDEM_PLS!H4,"-")</f>
        <v>0.39491965239492927</v>
      </c>
      <c r="H31" s="10">
        <f>IFERROR((AYDEM_CFS!I11+AYDEM_CFS!I13)/AYDEM_PLS!I4,"-")</f>
        <v>0.88946389087382549</v>
      </c>
      <c r="I31" s="10">
        <f>IFERROR((AYDEM_CFS!J11+AYDEM_CFS!J13)/AYDEM_PLS!J4,"-")</f>
        <v>0.74466478630215616</v>
      </c>
    </row>
    <row r="32" spans="1:9" ht="15" customHeight="1" x14ac:dyDescent="0.2">
      <c r="A32" s="253" t="s">
        <v>238</v>
      </c>
      <c r="B32" s="253"/>
      <c r="C32" s="253"/>
      <c r="D32" s="253"/>
      <c r="E32" s="253"/>
      <c r="F32" s="253"/>
      <c r="G32" s="253"/>
      <c r="H32" s="253"/>
      <c r="I32" s="253"/>
    </row>
    <row r="33" spans="1:9" ht="15" customHeight="1" x14ac:dyDescent="0.2">
      <c r="A33" s="8" t="s">
        <v>239</v>
      </c>
      <c r="B33" s="8" t="s">
        <v>240</v>
      </c>
      <c r="C33" s="8" t="s">
        <v>208</v>
      </c>
      <c r="D33" s="20">
        <f>IFERROR(AYDEM_BS!B29/1000,"-")</f>
        <v>705</v>
      </c>
      <c r="E33" s="20">
        <f>IFERROR(AYDEM_BS!D29/1000,"-")</f>
        <v>705</v>
      </c>
      <c r="F33" s="20">
        <f>IFERROR(AYDEM_BS!F29/1000,"-")</f>
        <v>705</v>
      </c>
      <c r="G33" s="20">
        <f>IFERROR(AYDEM_BS!H29/1000,"-")</f>
        <v>705</v>
      </c>
      <c r="H33" s="20">
        <f>IFERROR(AYDEM_BS!I29/1000,"-")</f>
        <v>705</v>
      </c>
      <c r="I33" s="20">
        <f>IFERROR(AYDEM_BS!J29/1000,"-")</f>
        <v>700</v>
      </c>
    </row>
    <row r="34" spans="1:9" ht="15" customHeight="1" x14ac:dyDescent="0.2">
      <c r="A34" s="8" t="s">
        <v>241</v>
      </c>
      <c r="B34" s="8" t="s">
        <v>398</v>
      </c>
      <c r="C34" s="8" t="s">
        <v>208</v>
      </c>
      <c r="D34" s="15">
        <f>IFERROR(AYDEM_PLS!B20/AYDEM_BS!B29,"-")</f>
        <v>-3.9774084921985819</v>
      </c>
      <c r="E34" s="15">
        <f>IFERROR(AYDEM_PLS!D20/AYDEM_BS!D29,"-")</f>
        <v>-16.695430304964543</v>
      </c>
      <c r="F34" s="15">
        <f>IFERROR(AYDEM_PLS!F20/AYDEM_BS!F29,"-")</f>
        <v>-1.8157454453900714</v>
      </c>
      <c r="G34" s="15">
        <f>IFERROR(AYDEM_PLS!H20/AYDEM_BS!H29,"-")</f>
        <v>1.4440717744680849</v>
      </c>
      <c r="H34" s="15">
        <f>IFERROR(AYDEM_PLS!I20/AYDEM_BS!I29,"-")</f>
        <v>-0.17062643971631208</v>
      </c>
      <c r="I34" s="15">
        <f>IFERROR(AYDEM_PLS!J20/AYDEM_BS!J29,"-")</f>
        <v>-0.8104013842857144</v>
      </c>
    </row>
    <row r="35" spans="1:9" ht="15" customHeight="1" x14ac:dyDescent="0.2">
      <c r="A35" s="8" t="s">
        <v>243</v>
      </c>
      <c r="B35" s="8" t="s">
        <v>244</v>
      </c>
      <c r="C35" s="8" t="s">
        <v>208</v>
      </c>
      <c r="D35" s="21">
        <f>IFERROR(AYDEM_BS!B33/AYDEM_BS!B29,"-")</f>
        <v>52.190291378723401</v>
      </c>
      <c r="E35" s="21">
        <f>IFERROR(AYDEM_BS!D33/AYDEM_BS!D29,"-")</f>
        <v>38.815712721985818</v>
      </c>
      <c r="F35" s="21">
        <f>IFERROR(AYDEM_BS!F33/AYDEM_BS!F29,"-")</f>
        <v>40.596844147517729</v>
      </c>
      <c r="G35" s="21">
        <f>IFERROR(AYDEM_BS!H33/AYDEM_BS!H29,"-")</f>
        <v>24.2244708141844</v>
      </c>
      <c r="H35" s="21">
        <f>IFERROR(AYDEM_BS!I33/AYDEM_BS!I29,"-")</f>
        <v>13.905333248226949</v>
      </c>
      <c r="I35" s="21">
        <f>IFERROR(AYDEM_BS!J33/AYDEM_BS!J29,"-")</f>
        <v>8.4183599914285718</v>
      </c>
    </row>
    <row r="36" spans="1:9" ht="15" customHeight="1" x14ac:dyDescent="0.2">
      <c r="A36" s="8" t="s">
        <v>245</v>
      </c>
      <c r="B36" s="8" t="s">
        <v>246</v>
      </c>
      <c r="C36" s="8" t="s">
        <v>208</v>
      </c>
      <c r="D36" s="15">
        <f>IFERROR(ABS(AYDEM_CFS!B18)/AYDEM_BS!B29,"-")</f>
        <v>0</v>
      </c>
      <c r="E36" s="15">
        <f>IFERROR(ABS(AYDEM_CFS!D18)/AYDEM_BS!D29,"-")</f>
        <v>0.54103001134751771</v>
      </c>
      <c r="F36" s="15">
        <f>IFERROR(ABS(AYDEM_CFS!F18)/AYDEM_BS!F29,"-")</f>
        <v>0</v>
      </c>
      <c r="G36" s="15">
        <f>IFERROR(ABS(AYDEM_CFS!H18)/AYDEM_BS!H29,"-")</f>
        <v>0</v>
      </c>
      <c r="H36" s="15">
        <f>IFERROR(ABS(AYDEM_CFS!I18)/AYDEM_BS!I29,"-")</f>
        <v>0</v>
      </c>
      <c r="I36" s="15">
        <f>IFERROR(ABS(AYDEM_CFS!J18)/AYDEM_BS!J29,"-")</f>
        <v>0</v>
      </c>
    </row>
    <row r="37" spans="1:9" ht="15" customHeight="1" x14ac:dyDescent="0.2">
      <c r="A37" s="253" t="s">
        <v>247</v>
      </c>
      <c r="B37" s="253"/>
      <c r="C37" s="253"/>
      <c r="D37" s="253"/>
      <c r="E37" s="253"/>
      <c r="F37" s="253"/>
      <c r="G37" s="253"/>
      <c r="H37" s="253"/>
      <c r="I37" s="253"/>
    </row>
    <row r="38" spans="1:9" ht="18" customHeight="1" x14ac:dyDescent="0.2">
      <c r="A38" s="8" t="s">
        <v>248</v>
      </c>
      <c r="B38" s="8" t="s">
        <v>838</v>
      </c>
      <c r="C38" s="8" t="s">
        <v>250</v>
      </c>
      <c r="D38" s="21">
        <v>22.56</v>
      </c>
      <c r="E38" s="21">
        <v>23.6</v>
      </c>
      <c r="F38" s="21">
        <v>23.58</v>
      </c>
      <c r="G38" s="21">
        <v>26.98</v>
      </c>
      <c r="H38" s="21">
        <v>6.1</v>
      </c>
      <c r="I38" s="250" t="s">
        <v>251</v>
      </c>
    </row>
    <row r="39" spans="1:9" ht="15" customHeight="1" x14ac:dyDescent="0.2">
      <c r="A39" s="8" t="s">
        <v>252</v>
      </c>
      <c r="B39" s="8" t="s">
        <v>253</v>
      </c>
      <c r="C39" s="251" t="s">
        <v>208</v>
      </c>
      <c r="D39" s="9">
        <f>IFERROR(D38*AYDEM_BS!B29,"-")</f>
        <v>15904800</v>
      </c>
      <c r="E39" s="9">
        <f>IFERROR(E38*AYDEM_BS!D29,"-")</f>
        <v>16638000.000000002</v>
      </c>
      <c r="F39" s="9">
        <f>IFERROR(F38*AYDEM_BS!F29,"-")</f>
        <v>16623899.999999998</v>
      </c>
      <c r="G39" s="9">
        <f>IFERROR(G38*AYDEM_BS!H29,"-")</f>
        <v>19020900</v>
      </c>
      <c r="H39" s="9">
        <f>IFERROR(H38*AYDEM_BS!I29,"-")</f>
        <v>4300500</v>
      </c>
      <c r="I39" s="250" t="s">
        <v>254</v>
      </c>
    </row>
    <row r="40" spans="1:9" ht="15" customHeight="1" x14ac:dyDescent="0.2">
      <c r="A40" s="8" t="s">
        <v>255</v>
      </c>
      <c r="B40" s="8" t="s">
        <v>256</v>
      </c>
      <c r="C40" s="251" t="s">
        <v>257</v>
      </c>
      <c r="D40" s="18">
        <f>IFERROR(D39/AYDEM_PLS!B20,"-")</f>
        <v>-5.6720349554866987</v>
      </c>
      <c r="E40" s="18">
        <f>IFERROR(E39/AYDEM_PLS!D20,"-")</f>
        <v>-1.4135604515076394</v>
      </c>
      <c r="F40" s="18">
        <f>IFERROR(F39/AYDEM_PLS!F20,"-")</f>
        <v>-12.986401843863291</v>
      </c>
      <c r="G40" s="18">
        <f>IFERROR(G39/AYDEM_PLS!H20,"-")</f>
        <v>18.683281867992967</v>
      </c>
      <c r="H40" s="18">
        <f>IFERROR(H39/AYDEM_PLS!I20,"-")</f>
        <v>-35.750614090887773</v>
      </c>
      <c r="I40" s="250" t="s">
        <v>254</v>
      </c>
    </row>
    <row r="41" spans="1:9" ht="15" customHeight="1" x14ac:dyDescent="0.2">
      <c r="A41" s="8" t="s">
        <v>259</v>
      </c>
      <c r="B41" s="8" t="s">
        <v>260</v>
      </c>
      <c r="C41" s="251" t="s">
        <v>261</v>
      </c>
      <c r="D41" s="18">
        <f>IFERROR(D39/AYDEM_BS!B33,"-")</f>
        <v>0.43226430441423275</v>
      </c>
      <c r="E41" s="18">
        <f>IFERROR(E39/AYDEM_BS!D33,"-")</f>
        <v>0.60800120222016685</v>
      </c>
      <c r="F41" s="18">
        <f>IFERROR(F39/AYDEM_BS!F33,"-")</f>
        <v>0.5808333257214966</v>
      </c>
      <c r="G41" s="18">
        <f>IFERROR(G39/AYDEM_BS!H33,"-")</f>
        <v>1.1137498196328866</v>
      </c>
      <c r="H41" s="18">
        <f>IFERROR(H39/AYDEM_BS!I33,"-")</f>
        <v>0.43868060485194071</v>
      </c>
      <c r="I41" s="250" t="s">
        <v>254</v>
      </c>
    </row>
    <row r="42" spans="1:9" ht="15" customHeight="1" x14ac:dyDescent="0.2">
      <c r="A42" s="8" t="s">
        <v>262</v>
      </c>
      <c r="B42" s="8" t="s">
        <v>263</v>
      </c>
      <c r="C42" s="251" t="s">
        <v>264</v>
      </c>
      <c r="D42" s="18">
        <f>IFERROR((D39+AYDEM_BS!B19+AYDEM_BS!B24-AYDEM_BS!B5-AYDEM_BS!B6)/AYDEM_PLS!B13,"-")</f>
        <v>7.5294604400640219</v>
      </c>
      <c r="E42" s="18">
        <f>IFERROR((E39+AYDEM_BS!D19+AYDEM_BS!D24-AYDEM_BS!D5-AYDEM_BS!D6)/AYDEM_PLS!D13,"-")</f>
        <v>-2.67505401287888</v>
      </c>
      <c r="F42" s="18">
        <f>IFERROR((F39+AYDEM_BS!F19+AYDEM_BS!F24-AYDEM_BS!F5-AYDEM_BS!F6)/AYDEM_PLS!F13,"-")</f>
        <v>19.001105281692762</v>
      </c>
      <c r="G42" s="18">
        <f>IFERROR((G39+AYDEM_BS!H19+AYDEM_BS!H24-AYDEM_BS!H5-AYDEM_BS!H6)/AYDEM_PLS!H13,"-")</f>
        <v>8.7972668560761562</v>
      </c>
      <c r="H42" s="18">
        <f>IFERROR((H39+AYDEM_BS!I19+AYDEM_BS!I24-AYDEM_BS!I5-AYDEM_BS!I6)/AYDEM_PLS!I13,"-")</f>
        <v>14.135496656842408</v>
      </c>
      <c r="I42" s="250" t="s">
        <v>254</v>
      </c>
    </row>
    <row r="43" spans="1:9" ht="15" customHeight="1" x14ac:dyDescent="0.2">
      <c r="A43" s="8" t="s">
        <v>265</v>
      </c>
      <c r="B43" s="8" t="s">
        <v>266</v>
      </c>
      <c r="C43" s="251" t="s">
        <v>267</v>
      </c>
      <c r="D43" s="10">
        <f>IFERROR(ABS(AYDEM_CFS!B18)/AYDEM_BS!B29/D38,"-")</f>
        <v>0</v>
      </c>
      <c r="E43" s="10">
        <f>IFERROR(ABS(AYDEM_CFS!D18)/AYDEM_BS!D29/E38,"-")</f>
        <v>2.2925000480827021E-2</v>
      </c>
      <c r="F43" s="10">
        <f>IFERROR(ABS(AYDEM_CFS!F18)/AYDEM_BS!F29/F38,"-")</f>
        <v>0</v>
      </c>
      <c r="G43" s="10">
        <f>IFERROR(ABS(AYDEM_CFS!H18)/AYDEM_BS!H29/G38,"-")</f>
        <v>0</v>
      </c>
      <c r="H43" s="10">
        <f>IFERROR(ABS(AYDEM_CFS!I18)/AYDEM_BS!I29/H38,"-")</f>
        <v>0</v>
      </c>
      <c r="I43" s="250" t="s">
        <v>254</v>
      </c>
    </row>
    <row r="45" spans="1:9" ht="15" customHeight="1" x14ac:dyDescent="0.2"/>
    <row r="46" spans="1:9" ht="15" customHeight="1" x14ac:dyDescent="0.2"/>
    <row r="47" spans="1:9" ht="15" customHeight="1" x14ac:dyDescent="0.2"/>
    <row r="48" spans="1:9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</sheetData>
  <mergeCells count="8">
    <mergeCell ref="A1:I1"/>
    <mergeCell ref="A3:I3"/>
    <mergeCell ref="A7:I7"/>
    <mergeCell ref="A14:I14"/>
    <mergeCell ref="A22:I22"/>
    <mergeCell ref="A28:I28"/>
    <mergeCell ref="A32:I32"/>
    <mergeCell ref="A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6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8" customWidth="1"/>
    <col min="2" max="10" width="16" customWidth="1"/>
    <col min="11" max="11" width="31" customWidth="1"/>
    <col min="12" max="20" width="16" customWidth="1"/>
  </cols>
  <sheetData>
    <row r="1" spans="1:20" ht="21.75" customHeight="1" x14ac:dyDescent="0.2">
      <c r="A1" s="254" t="s">
        <v>839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12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253" t="s">
        <v>13</v>
      </c>
      <c r="B4" s="253"/>
      <c r="C4" s="253"/>
      <c r="D4" s="253"/>
      <c r="E4" s="253"/>
      <c r="F4" s="253"/>
      <c r="G4" s="253"/>
      <c r="H4" s="253"/>
      <c r="I4" s="253"/>
      <c r="J4" s="253"/>
    </row>
    <row r="5" spans="1:20" ht="15" customHeight="1" x14ac:dyDescent="0.2">
      <c r="A5" s="8" t="s">
        <v>14</v>
      </c>
      <c r="B5" s="9">
        <v>5011587</v>
      </c>
      <c r="C5" s="9">
        <v>2018247</v>
      </c>
      <c r="D5" s="9">
        <v>1541918</v>
      </c>
      <c r="E5" s="9">
        <v>2791942</v>
      </c>
      <c r="F5" s="9">
        <v>1933759</v>
      </c>
      <c r="G5" s="9">
        <v>3798939</v>
      </c>
      <c r="H5" s="9">
        <v>2305560</v>
      </c>
      <c r="I5" s="9">
        <v>1171070</v>
      </c>
      <c r="J5" s="9">
        <v>728314</v>
      </c>
      <c r="L5" s="10">
        <f t="shared" ref="L5:T5" si="0">IFERROR(B5/B16,"")</f>
        <v>3.8353024295643232E-2</v>
      </c>
      <c r="M5" s="10">
        <f t="shared" si="0"/>
        <v>1.2980774815223146E-2</v>
      </c>
      <c r="N5" s="10">
        <f t="shared" si="0"/>
        <v>1.2980776779169208E-2</v>
      </c>
      <c r="O5" s="10">
        <f t="shared" si="0"/>
        <v>1.9629885031238706E-2</v>
      </c>
      <c r="P5" s="10">
        <f t="shared" si="0"/>
        <v>1.9629884276952579E-2</v>
      </c>
      <c r="Q5" s="10">
        <f t="shared" si="0"/>
        <v>3.2264250955254585E-2</v>
      </c>
      <c r="R5" s="10">
        <f t="shared" si="0"/>
        <v>3.4193076627204388E-2</v>
      </c>
      <c r="S5" s="10">
        <f t="shared" si="0"/>
        <v>3.3056404404193503E-2</v>
      </c>
      <c r="T5" s="10">
        <f t="shared" si="0"/>
        <v>3.4029279382302192E-2</v>
      </c>
    </row>
    <row r="6" spans="1:20" ht="15" customHeight="1" x14ac:dyDescent="0.2">
      <c r="A6" s="8" t="s">
        <v>15</v>
      </c>
      <c r="B6" s="9">
        <v>1616980</v>
      </c>
      <c r="C6" s="9">
        <v>0</v>
      </c>
      <c r="D6" s="9">
        <v>0</v>
      </c>
      <c r="E6" s="9">
        <v>576172</v>
      </c>
      <c r="F6" s="9">
        <v>399069</v>
      </c>
      <c r="G6" s="9">
        <v>1084769</v>
      </c>
      <c r="H6" s="9">
        <v>658342</v>
      </c>
      <c r="I6" s="9">
        <v>298976</v>
      </c>
      <c r="J6" s="9">
        <v>258578</v>
      </c>
      <c r="L6" s="10">
        <f t="shared" ref="L6:T6" si="1">IFERROR(B6/B16,"")</f>
        <v>1.2374537891005222E-2</v>
      </c>
      <c r="M6" s="10">
        <f t="shared" si="1"/>
        <v>0</v>
      </c>
      <c r="N6" s="10">
        <f t="shared" si="1"/>
        <v>0</v>
      </c>
      <c r="O6" s="10">
        <f t="shared" si="1"/>
        <v>4.0510118470293678E-3</v>
      </c>
      <c r="P6" s="10">
        <f t="shared" si="1"/>
        <v>4.0510106422357636E-3</v>
      </c>
      <c r="Q6" s="10">
        <f t="shared" si="1"/>
        <v>9.2129037198229718E-3</v>
      </c>
      <c r="R6" s="10">
        <f t="shared" si="1"/>
        <v>9.7636749652609302E-3</v>
      </c>
      <c r="S6" s="10">
        <f t="shared" si="1"/>
        <v>8.4393516725286763E-3</v>
      </c>
      <c r="T6" s="10">
        <f t="shared" si="1"/>
        <v>1.2081633751537023E-2</v>
      </c>
    </row>
    <row r="7" spans="1:20" ht="15" customHeight="1" x14ac:dyDescent="0.2">
      <c r="A7" s="8" t="s">
        <v>840</v>
      </c>
      <c r="B7" s="9">
        <v>8661664</v>
      </c>
      <c r="C7" s="9">
        <v>8428716</v>
      </c>
      <c r="D7" s="9">
        <v>6439443</v>
      </c>
      <c r="E7" s="9">
        <v>8644313</v>
      </c>
      <c r="F7" s="9">
        <v>5987237</v>
      </c>
      <c r="G7" s="9">
        <v>11804273</v>
      </c>
      <c r="H7" s="9">
        <v>7041880</v>
      </c>
      <c r="I7" s="9">
        <v>2846527</v>
      </c>
      <c r="J7" s="9">
        <v>1423992</v>
      </c>
      <c r="L7" s="10">
        <f t="shared" ref="L7:T7" si="2">IFERROR(B7/B16,"")</f>
        <v>6.6286589424208009E-2</v>
      </c>
      <c r="M7" s="10">
        <f t="shared" si="2"/>
        <v>5.4211037785498198E-2</v>
      </c>
      <c r="N7" s="10">
        <f t="shared" si="2"/>
        <v>5.4211035972849202E-2</v>
      </c>
      <c r="O7" s="10">
        <f t="shared" si="2"/>
        <v>6.0777362267569371E-2</v>
      </c>
      <c r="P7" s="10">
        <f t="shared" si="2"/>
        <v>6.0777361319941485E-2</v>
      </c>
      <c r="Q7" s="10">
        <f t="shared" si="2"/>
        <v>0.10025326187557523</v>
      </c>
      <c r="R7" s="10">
        <f t="shared" si="2"/>
        <v>0.10443603395252261</v>
      </c>
      <c r="S7" s="10">
        <f t="shared" si="2"/>
        <v>8.035040404028429E-2</v>
      </c>
      <c r="T7" s="10">
        <f t="shared" si="2"/>
        <v>6.6533695090528616E-2</v>
      </c>
    </row>
    <row r="8" spans="1:20" ht="15" customHeight="1" x14ac:dyDescent="0.2">
      <c r="A8" s="8" t="s">
        <v>841</v>
      </c>
      <c r="B8" s="9">
        <v>7522342</v>
      </c>
      <c r="C8" s="9">
        <v>7105720</v>
      </c>
      <c r="D8" s="9">
        <v>5428690</v>
      </c>
      <c r="E8" s="9">
        <v>16613760</v>
      </c>
      <c r="F8" s="9">
        <v>11507049</v>
      </c>
      <c r="G8" s="9">
        <v>5902722</v>
      </c>
      <c r="H8" s="9">
        <v>3555775</v>
      </c>
      <c r="I8" s="9">
        <v>2154733</v>
      </c>
      <c r="J8" s="9">
        <v>1553122</v>
      </c>
      <c r="L8" s="10">
        <f t="shared" ref="L8:T8" si="3">IFERROR(B8/B16,"")</f>
        <v>5.7567506158455892E-2</v>
      </c>
      <c r="M8" s="10">
        <f t="shared" si="3"/>
        <v>4.570191419584789E-2</v>
      </c>
      <c r="N8" s="10">
        <f t="shared" si="3"/>
        <v>4.5701920006970591E-2</v>
      </c>
      <c r="O8" s="10">
        <f t="shared" si="3"/>
        <v>0.11680980433568906</v>
      </c>
      <c r="P8" s="10">
        <f t="shared" si="3"/>
        <v>0.11680981975480031</v>
      </c>
      <c r="Q8" s="10">
        <f t="shared" si="3"/>
        <v>5.0131603568023132E-2</v>
      </c>
      <c r="R8" s="10">
        <f t="shared" si="3"/>
        <v>5.2734644530655322E-2</v>
      </c>
      <c r="S8" s="10">
        <f t="shared" si="3"/>
        <v>6.0822773558421854E-2</v>
      </c>
      <c r="T8" s="10">
        <f t="shared" si="3"/>
        <v>7.2567082951583983E-2</v>
      </c>
    </row>
    <row r="9" spans="1:20" ht="15" customHeight="1" x14ac:dyDescent="0.2">
      <c r="A9" s="6" t="s">
        <v>19</v>
      </c>
      <c r="B9" s="11">
        <f t="shared" ref="B9:J9" si="4">SUM(B5:B8)</f>
        <v>22812573</v>
      </c>
      <c r="C9" s="11">
        <f t="shared" si="4"/>
        <v>17552683</v>
      </c>
      <c r="D9" s="11">
        <f t="shared" si="4"/>
        <v>13410051</v>
      </c>
      <c r="E9" s="11">
        <f t="shared" si="4"/>
        <v>28626187</v>
      </c>
      <c r="F9" s="11">
        <f t="shared" si="4"/>
        <v>19827114</v>
      </c>
      <c r="G9" s="11">
        <f t="shared" si="4"/>
        <v>22590703</v>
      </c>
      <c r="H9" s="11">
        <f t="shared" si="4"/>
        <v>13561557</v>
      </c>
      <c r="I9" s="11">
        <f t="shared" si="4"/>
        <v>6471306</v>
      </c>
      <c r="J9" s="11">
        <f t="shared" si="4"/>
        <v>3964006</v>
      </c>
      <c r="L9" s="12">
        <f t="shared" ref="L9:T9" si="5">IFERROR(B9/B16,"")</f>
        <v>0.17458165776931234</v>
      </c>
      <c r="M9" s="12">
        <f t="shared" si="5"/>
        <v>0.11289372679656924</v>
      </c>
      <c r="N9" s="12">
        <f t="shared" si="5"/>
        <v>0.11289373275898901</v>
      </c>
      <c r="O9" s="12">
        <f t="shared" si="5"/>
        <v>0.20126806348152651</v>
      </c>
      <c r="P9" s="12">
        <f t="shared" si="5"/>
        <v>0.20126807599393015</v>
      </c>
      <c r="Q9" s="12">
        <f t="shared" si="5"/>
        <v>0.19186202011867592</v>
      </c>
      <c r="R9" s="12">
        <f t="shared" si="5"/>
        <v>0.20112743007564327</v>
      </c>
      <c r="S9" s="12">
        <f t="shared" si="5"/>
        <v>0.18266893367542833</v>
      </c>
      <c r="T9" s="12">
        <f t="shared" si="5"/>
        <v>0.18521169117595182</v>
      </c>
    </row>
    <row r="10" spans="1:20" ht="15" customHeight="1" x14ac:dyDescent="0.2">
      <c r="A10" s="253" t="s">
        <v>20</v>
      </c>
      <c r="B10" s="253"/>
      <c r="C10" s="253"/>
      <c r="D10" s="253"/>
      <c r="E10" s="253"/>
      <c r="F10" s="253"/>
      <c r="G10" s="253"/>
      <c r="H10" s="253"/>
      <c r="I10" s="253"/>
      <c r="J10" s="253"/>
    </row>
    <row r="11" spans="1:20" ht="15" customHeight="1" x14ac:dyDescent="0.2">
      <c r="A11" s="8" t="s">
        <v>21</v>
      </c>
      <c r="B11" s="9">
        <v>50283558</v>
      </c>
      <c r="C11" s="9">
        <v>71946407</v>
      </c>
      <c r="D11" s="9">
        <v>54966237</v>
      </c>
      <c r="E11" s="9">
        <v>58368006</v>
      </c>
      <c r="F11" s="9">
        <v>40426936</v>
      </c>
      <c r="G11" s="9">
        <v>56980220</v>
      </c>
      <c r="H11" s="9">
        <v>34644864</v>
      </c>
      <c r="I11" s="9">
        <v>18787818</v>
      </c>
      <c r="J11" s="9">
        <v>10774018</v>
      </c>
      <c r="L11" s="10">
        <f t="shared" ref="L11:T11" si="6">IFERROR(B11/B16,"")</f>
        <v>0.38481353743741958</v>
      </c>
      <c r="M11" s="10">
        <f t="shared" si="6"/>
        <v>0.46273826148702035</v>
      </c>
      <c r="N11" s="10">
        <f t="shared" si="6"/>
        <v>0.46273826032766419</v>
      </c>
      <c r="O11" s="10">
        <f t="shared" si="6"/>
        <v>0.41038003199301815</v>
      </c>
      <c r="P11" s="10">
        <f t="shared" si="6"/>
        <v>0.41038002944098423</v>
      </c>
      <c r="Q11" s="10">
        <f t="shared" si="6"/>
        <v>0.48393093902418971</v>
      </c>
      <c r="R11" s="10">
        <f t="shared" si="6"/>
        <v>0.51380770376441076</v>
      </c>
      <c r="S11" s="10">
        <f t="shared" si="6"/>
        <v>0.53033354938678812</v>
      </c>
      <c r="T11" s="10">
        <f t="shared" si="6"/>
        <v>0.50339835372099484</v>
      </c>
    </row>
    <row r="12" spans="1:20" ht="15" customHeight="1" x14ac:dyDescent="0.2">
      <c r="A12" s="8" t="s">
        <v>805</v>
      </c>
      <c r="B12" s="9">
        <v>12976082</v>
      </c>
      <c r="C12" s="9">
        <v>13727401</v>
      </c>
      <c r="D12" s="9">
        <v>10487578</v>
      </c>
      <c r="E12" s="9">
        <v>11061118</v>
      </c>
      <c r="F12" s="9">
        <v>7661168</v>
      </c>
      <c r="G12" s="9">
        <v>8819497</v>
      </c>
      <c r="H12" s="9">
        <v>1444595</v>
      </c>
      <c r="I12" s="9">
        <v>1501186</v>
      </c>
      <c r="J12" s="9">
        <v>1506887</v>
      </c>
      <c r="L12" s="10">
        <f t="shared" ref="L12:T12" si="7">IFERROR(B12/B16,"")</f>
        <v>9.9304269926524025E-2</v>
      </c>
      <c r="M12" s="10">
        <f t="shared" si="7"/>
        <v>8.8290631017545945E-2</v>
      </c>
      <c r="N12" s="10">
        <f t="shared" si="7"/>
        <v>8.8290628277331112E-2</v>
      </c>
      <c r="O12" s="10">
        <f t="shared" si="7"/>
        <v>7.7769693875075138E-2</v>
      </c>
      <c r="P12" s="10">
        <f t="shared" si="7"/>
        <v>7.7769691707339036E-2</v>
      </c>
      <c r="Q12" s="10">
        <f t="shared" si="7"/>
        <v>7.4903667710146157E-2</v>
      </c>
      <c r="R12" s="10">
        <f t="shared" si="7"/>
        <v>2.1424360038461945E-2</v>
      </c>
      <c r="S12" s="10">
        <f t="shared" si="7"/>
        <v>4.2374761117536637E-2</v>
      </c>
      <c r="T12" s="10">
        <f t="shared" si="7"/>
        <v>7.0406828264401339E-2</v>
      </c>
    </row>
    <row r="13" spans="1:20" ht="15" customHeight="1" x14ac:dyDescent="0.2">
      <c r="A13" s="8" t="s">
        <v>842</v>
      </c>
      <c r="B13" s="9">
        <v>44597717</v>
      </c>
      <c r="C13" s="9">
        <v>52253211</v>
      </c>
      <c r="D13" s="9">
        <v>39920859</v>
      </c>
      <c r="E13" s="9">
        <v>44173846</v>
      </c>
      <c r="F13" s="9">
        <v>30595755</v>
      </c>
      <c r="G13" s="9">
        <v>29354108</v>
      </c>
      <c r="H13" s="9">
        <v>17776669</v>
      </c>
      <c r="I13" s="9">
        <v>8666108</v>
      </c>
      <c r="J13" s="9">
        <v>5157658</v>
      </c>
      <c r="L13" s="10">
        <f t="shared" ref="L13:T13" si="8">IFERROR(B13/B16,"")</f>
        <v>0.341300534866744</v>
      </c>
      <c r="M13" s="10">
        <f t="shared" si="8"/>
        <v>0.33607738069886445</v>
      </c>
      <c r="N13" s="10">
        <f t="shared" si="8"/>
        <v>0.33607737863601572</v>
      </c>
      <c r="O13" s="10">
        <f t="shared" si="8"/>
        <v>0.31058221065038022</v>
      </c>
      <c r="P13" s="10">
        <f t="shared" si="8"/>
        <v>0.31058220285774663</v>
      </c>
      <c r="Q13" s="10">
        <f t="shared" si="8"/>
        <v>0.24930337314698819</v>
      </c>
      <c r="R13" s="10">
        <f t="shared" si="8"/>
        <v>0.2636405061214841</v>
      </c>
      <c r="S13" s="10">
        <f t="shared" si="8"/>
        <v>0.24462275582024692</v>
      </c>
      <c r="T13" s="10">
        <f t="shared" si="8"/>
        <v>0.24098312683865195</v>
      </c>
    </row>
    <row r="14" spans="1:20" ht="15" customHeight="1" x14ac:dyDescent="0.2">
      <c r="A14" s="6" t="s">
        <v>24</v>
      </c>
      <c r="B14" s="11">
        <f t="shared" ref="B14:J14" si="9">SUM(B11:B13)</f>
        <v>107857357</v>
      </c>
      <c r="C14" s="11">
        <f t="shared" si="9"/>
        <v>137927019</v>
      </c>
      <c r="D14" s="11">
        <f t="shared" si="9"/>
        <v>105374674</v>
      </c>
      <c r="E14" s="11">
        <f t="shared" si="9"/>
        <v>113602970</v>
      </c>
      <c r="F14" s="11">
        <f t="shared" si="9"/>
        <v>78683859</v>
      </c>
      <c r="G14" s="11">
        <f t="shared" si="9"/>
        <v>95153825</v>
      </c>
      <c r="H14" s="11">
        <f t="shared" si="9"/>
        <v>53866128</v>
      </c>
      <c r="I14" s="11">
        <f t="shared" si="9"/>
        <v>28955112</v>
      </c>
      <c r="J14" s="11">
        <f t="shared" si="9"/>
        <v>17438563</v>
      </c>
      <c r="L14" s="12">
        <f t="shared" ref="L14:T14" si="10">IFERROR(B14/B16,"")</f>
        <v>0.82541834223068766</v>
      </c>
      <c r="M14" s="12">
        <f t="shared" si="10"/>
        <v>0.88710627320343072</v>
      </c>
      <c r="N14" s="12">
        <f t="shared" si="10"/>
        <v>0.88710626724101105</v>
      </c>
      <c r="O14" s="12">
        <f t="shared" si="10"/>
        <v>0.79873193651847352</v>
      </c>
      <c r="P14" s="12">
        <f t="shared" si="10"/>
        <v>0.79873192400606985</v>
      </c>
      <c r="Q14" s="12">
        <f t="shared" si="10"/>
        <v>0.80813797988132408</v>
      </c>
      <c r="R14" s="12">
        <f t="shared" si="10"/>
        <v>0.79887256992435673</v>
      </c>
      <c r="S14" s="12">
        <f t="shared" si="10"/>
        <v>0.81733106632457164</v>
      </c>
      <c r="T14" s="12">
        <f t="shared" si="10"/>
        <v>0.81478830882404818</v>
      </c>
    </row>
    <row r="16" spans="1:20" ht="15" customHeight="1" x14ac:dyDescent="0.2">
      <c r="A16" s="6" t="s">
        <v>25</v>
      </c>
      <c r="B16" s="11">
        <f t="shared" ref="B16:J16" si="11">B9+B14</f>
        <v>130669930</v>
      </c>
      <c r="C16" s="11">
        <f t="shared" si="11"/>
        <v>155479702</v>
      </c>
      <c r="D16" s="11">
        <f t="shared" si="11"/>
        <v>118784725</v>
      </c>
      <c r="E16" s="11">
        <f t="shared" si="11"/>
        <v>142229157</v>
      </c>
      <c r="F16" s="11">
        <f t="shared" si="11"/>
        <v>98510973</v>
      </c>
      <c r="G16" s="11">
        <f t="shared" si="11"/>
        <v>117744528</v>
      </c>
      <c r="H16" s="11">
        <f t="shared" si="11"/>
        <v>67427685</v>
      </c>
      <c r="I16" s="11">
        <f t="shared" si="11"/>
        <v>35426418</v>
      </c>
      <c r="J16" s="11">
        <f t="shared" si="11"/>
        <v>21402569</v>
      </c>
      <c r="L16" s="12">
        <f t="shared" ref="L16:T16" si="12">IFERROR(B16/B16,"")</f>
        <v>1</v>
      </c>
      <c r="M16" s="12">
        <f t="shared" si="12"/>
        <v>1</v>
      </c>
      <c r="N16" s="12">
        <f t="shared" si="12"/>
        <v>1</v>
      </c>
      <c r="O16" s="12">
        <f t="shared" si="12"/>
        <v>1</v>
      </c>
      <c r="P16" s="12">
        <f t="shared" si="12"/>
        <v>1</v>
      </c>
      <c r="Q16" s="12">
        <f t="shared" si="12"/>
        <v>1</v>
      </c>
      <c r="R16" s="12">
        <f t="shared" si="12"/>
        <v>1</v>
      </c>
      <c r="S16" s="12">
        <f t="shared" si="12"/>
        <v>1</v>
      </c>
      <c r="T16" s="12">
        <f t="shared" si="12"/>
        <v>1</v>
      </c>
    </row>
    <row r="17" spans="1:20" ht="15" customHeight="1" x14ac:dyDescent="0.2">
      <c r="A17" s="253" t="s">
        <v>26</v>
      </c>
      <c r="B17" s="253"/>
      <c r="C17" s="253"/>
      <c r="D17" s="253"/>
      <c r="E17" s="253"/>
      <c r="F17" s="253"/>
      <c r="G17" s="253"/>
      <c r="H17" s="253"/>
      <c r="I17" s="253"/>
      <c r="J17" s="253"/>
    </row>
    <row r="18" spans="1:20" ht="15" customHeight="1" x14ac:dyDescent="0.2">
      <c r="A18" s="253" t="s">
        <v>27</v>
      </c>
      <c r="B18" s="253"/>
      <c r="C18" s="253"/>
      <c r="D18" s="253"/>
      <c r="E18" s="253"/>
      <c r="F18" s="253"/>
      <c r="G18" s="253"/>
      <c r="H18" s="253"/>
      <c r="I18" s="253"/>
      <c r="J18" s="253"/>
    </row>
    <row r="19" spans="1:20" ht="15" customHeight="1" x14ac:dyDescent="0.2">
      <c r="A19" s="8" t="s">
        <v>843</v>
      </c>
      <c r="B19" s="9">
        <v>11366169</v>
      </c>
      <c r="C19" s="9">
        <v>14653900</v>
      </c>
      <c r="D19" s="9">
        <v>11195413</v>
      </c>
      <c r="E19" s="9">
        <v>24405451</v>
      </c>
      <c r="F19" s="9">
        <v>16903740</v>
      </c>
      <c r="G19" s="9">
        <v>19303871</v>
      </c>
      <c r="H19" s="9">
        <v>11707501</v>
      </c>
      <c r="I19" s="9">
        <v>5605558</v>
      </c>
      <c r="J19" s="9">
        <v>4853642</v>
      </c>
      <c r="L19" s="10">
        <f t="shared" ref="L19:T19" si="13">IFERROR(B19/B16,"")</f>
        <v>8.6983814868501111E-2</v>
      </c>
      <c r="M19" s="10">
        <f t="shared" si="13"/>
        <v>9.4249601790463947E-2</v>
      </c>
      <c r="N19" s="10">
        <f t="shared" si="13"/>
        <v>9.4249601537571434E-2</v>
      </c>
      <c r="O19" s="10">
        <f t="shared" si="13"/>
        <v>0.17159246046856624</v>
      </c>
      <c r="P19" s="10">
        <f t="shared" si="13"/>
        <v>0.17159245803003081</v>
      </c>
      <c r="Q19" s="10">
        <f t="shared" si="13"/>
        <v>0.16394707531546604</v>
      </c>
      <c r="R19" s="10">
        <f t="shared" si="13"/>
        <v>0.17363047537521123</v>
      </c>
      <c r="S19" s="10">
        <f t="shared" si="13"/>
        <v>0.1582310127995441</v>
      </c>
      <c r="T19" s="10">
        <f t="shared" si="13"/>
        <v>0.22677847692022393</v>
      </c>
    </row>
    <row r="20" spans="1:20" ht="15" customHeight="1" x14ac:dyDescent="0.2">
      <c r="A20" s="8" t="s">
        <v>294</v>
      </c>
      <c r="B20" s="9">
        <v>6796515</v>
      </c>
      <c r="C20" s="9">
        <v>6645466</v>
      </c>
      <c r="D20" s="9">
        <v>5077060</v>
      </c>
      <c r="E20" s="9">
        <v>5602363</v>
      </c>
      <c r="F20" s="9">
        <v>3880317</v>
      </c>
      <c r="G20" s="9">
        <v>9488174</v>
      </c>
      <c r="H20" s="9">
        <v>5994384</v>
      </c>
      <c r="I20" s="9">
        <v>2189914</v>
      </c>
      <c r="J20" s="9">
        <v>1814581</v>
      </c>
      <c r="L20" s="10">
        <f t="shared" ref="L20:T20" si="14">IFERROR(B20/B16,"")</f>
        <v>5.2012846413861245E-2</v>
      </c>
      <c r="M20" s="10">
        <f t="shared" si="14"/>
        <v>4.2741694989870765E-2</v>
      </c>
      <c r="N20" s="10">
        <f t="shared" si="14"/>
        <v>4.2741690903438975E-2</v>
      </c>
      <c r="O20" s="10">
        <f t="shared" si="14"/>
        <v>3.9389694196106356E-2</v>
      </c>
      <c r="P20" s="10">
        <f t="shared" si="14"/>
        <v>3.9389693166465831E-2</v>
      </c>
      <c r="Q20" s="10">
        <f t="shared" si="14"/>
        <v>8.0582717185804162E-2</v>
      </c>
      <c r="R20" s="10">
        <f t="shared" si="14"/>
        <v>8.8900931420083609E-2</v>
      </c>
      <c r="S20" s="10">
        <f t="shared" si="14"/>
        <v>6.1815846016382466E-2</v>
      </c>
      <c r="T20" s="10">
        <f t="shared" si="14"/>
        <v>8.4783326711854082E-2</v>
      </c>
    </row>
    <row r="21" spans="1:20" ht="15" customHeight="1" x14ac:dyDescent="0.2">
      <c r="A21" s="8" t="s">
        <v>844</v>
      </c>
      <c r="B21" s="9">
        <v>5429527</v>
      </c>
      <c r="C21" s="9">
        <v>5059170</v>
      </c>
      <c r="D21" s="9">
        <v>3865148</v>
      </c>
      <c r="E21" s="9">
        <v>15556861</v>
      </c>
      <c r="F21" s="9">
        <v>10775017</v>
      </c>
      <c r="G21" s="9">
        <v>8748358</v>
      </c>
      <c r="H21" s="9">
        <v>4952674</v>
      </c>
      <c r="I21" s="9">
        <v>1706289</v>
      </c>
      <c r="J21" s="9">
        <v>1359627</v>
      </c>
      <c r="L21" s="10">
        <f t="shared" ref="L21:T21" si="15">IFERROR(B21/B16,"")</f>
        <v>4.1551464824386146E-2</v>
      </c>
      <c r="M21" s="10">
        <f t="shared" si="15"/>
        <v>3.253910275696309E-2</v>
      </c>
      <c r="N21" s="10">
        <f t="shared" si="15"/>
        <v>3.253909961907981E-2</v>
      </c>
      <c r="O21" s="10">
        <f t="shared" si="15"/>
        <v>0.10937884557664924</v>
      </c>
      <c r="P21" s="10">
        <f t="shared" si="15"/>
        <v>0.10937885061799156</v>
      </c>
      <c r="Q21" s="10">
        <f t="shared" si="15"/>
        <v>7.4299486766807546E-2</v>
      </c>
      <c r="R21" s="10">
        <f t="shared" si="15"/>
        <v>7.3451639337758667E-2</v>
      </c>
      <c r="S21" s="10">
        <f t="shared" si="15"/>
        <v>4.8164310600072521E-2</v>
      </c>
      <c r="T21" s="10">
        <f t="shared" si="15"/>
        <v>6.3526345832596073E-2</v>
      </c>
    </row>
    <row r="22" spans="1:20" ht="15" customHeight="1" x14ac:dyDescent="0.2">
      <c r="A22" s="6" t="s">
        <v>31</v>
      </c>
      <c r="B22" s="11">
        <f t="shared" ref="B22:J22" si="16">SUM(B19:B21)</f>
        <v>23592211</v>
      </c>
      <c r="C22" s="11">
        <f t="shared" si="16"/>
        <v>26358536</v>
      </c>
      <c r="D22" s="11">
        <f t="shared" si="16"/>
        <v>20137621</v>
      </c>
      <c r="E22" s="11">
        <f t="shared" si="16"/>
        <v>45564675</v>
      </c>
      <c r="F22" s="11">
        <f t="shared" si="16"/>
        <v>31559074</v>
      </c>
      <c r="G22" s="11">
        <f t="shared" si="16"/>
        <v>37540403</v>
      </c>
      <c r="H22" s="11">
        <f t="shared" si="16"/>
        <v>22654559</v>
      </c>
      <c r="I22" s="11">
        <f t="shared" si="16"/>
        <v>9501761</v>
      </c>
      <c r="J22" s="11">
        <f t="shared" si="16"/>
        <v>8027850</v>
      </c>
      <c r="L22" s="12">
        <f t="shared" ref="L22:T22" si="17">IFERROR(B22/B16,"")</f>
        <v>0.1805481261067485</v>
      </c>
      <c r="M22" s="12">
        <f t="shared" si="17"/>
        <v>0.16953039953729779</v>
      </c>
      <c r="N22" s="12">
        <f t="shared" si="17"/>
        <v>0.16953039206009021</v>
      </c>
      <c r="O22" s="12">
        <f t="shared" si="17"/>
        <v>0.3203610002413218</v>
      </c>
      <c r="P22" s="12">
        <f t="shared" si="17"/>
        <v>0.32036100181448823</v>
      </c>
      <c r="Q22" s="12">
        <f t="shared" si="17"/>
        <v>0.31882927926807775</v>
      </c>
      <c r="R22" s="12">
        <f t="shared" si="17"/>
        <v>0.33598304613305352</v>
      </c>
      <c r="S22" s="12">
        <f t="shared" si="17"/>
        <v>0.2682111694159991</v>
      </c>
      <c r="T22" s="12">
        <f t="shared" si="17"/>
        <v>0.37508814946467406</v>
      </c>
    </row>
    <row r="23" spans="1:20" ht="15" customHeight="1" x14ac:dyDescent="0.2">
      <c r="A23" s="253" t="s">
        <v>32</v>
      </c>
      <c r="B23" s="253"/>
      <c r="C23" s="253"/>
      <c r="D23" s="253"/>
      <c r="E23" s="253"/>
      <c r="F23" s="253"/>
      <c r="G23" s="253"/>
      <c r="H23" s="253"/>
      <c r="I23" s="253"/>
      <c r="J23" s="253"/>
    </row>
    <row r="24" spans="1:20" ht="15" customHeight="1" x14ac:dyDescent="0.2">
      <c r="A24" s="8" t="s">
        <v>845</v>
      </c>
      <c r="B24" s="9">
        <v>45311642</v>
      </c>
      <c r="C24" s="9">
        <v>45201804</v>
      </c>
      <c r="D24" s="9">
        <v>34533664</v>
      </c>
      <c r="E24" s="9">
        <v>36947343</v>
      </c>
      <c r="F24" s="9">
        <v>25590524</v>
      </c>
      <c r="G24" s="9">
        <v>37328763</v>
      </c>
      <c r="H24" s="9">
        <v>22708925</v>
      </c>
      <c r="I24" s="9">
        <v>18174197</v>
      </c>
      <c r="J24" s="9">
        <v>10035603</v>
      </c>
      <c r="L24" s="10">
        <f t="shared" ref="L24:T24" si="18">IFERROR(B24/B16,"")</f>
        <v>0.34676411015143271</v>
      </c>
      <c r="M24" s="10">
        <f t="shared" si="18"/>
        <v>0.29072479184453287</v>
      </c>
      <c r="N24" s="10">
        <f t="shared" si="18"/>
        <v>0.29072478805671353</v>
      </c>
      <c r="O24" s="10">
        <f t="shared" si="18"/>
        <v>0.25977333888015663</v>
      </c>
      <c r="P24" s="10">
        <f t="shared" si="18"/>
        <v>0.25977333509841588</v>
      </c>
      <c r="Q24" s="10">
        <f t="shared" si="18"/>
        <v>0.31703182843452393</v>
      </c>
      <c r="R24" s="10">
        <f t="shared" si="18"/>
        <v>0.33678933215636869</v>
      </c>
      <c r="S24" s="10">
        <f t="shared" si="18"/>
        <v>0.51301254899662729</v>
      </c>
      <c r="T24" s="10">
        <f t="shared" si="18"/>
        <v>0.46889712164927488</v>
      </c>
    </row>
    <row r="25" spans="1:20" ht="15" customHeight="1" x14ac:dyDescent="0.2">
      <c r="A25" s="8" t="s">
        <v>846</v>
      </c>
      <c r="B25" s="9">
        <v>4215351</v>
      </c>
      <c r="C25" s="9">
        <v>7154396</v>
      </c>
      <c r="D25" s="9">
        <v>5465877</v>
      </c>
      <c r="E25" s="9">
        <v>4171551</v>
      </c>
      <c r="F25" s="9">
        <v>2889306</v>
      </c>
      <c r="G25" s="9">
        <v>8354830</v>
      </c>
      <c r="H25" s="9">
        <v>4455563</v>
      </c>
      <c r="I25" s="9">
        <v>1568567</v>
      </c>
      <c r="J25" s="9">
        <v>1041896</v>
      </c>
      <c r="L25" s="10">
        <f t="shared" ref="L25:T25" si="19">IFERROR(B25/B16,"")</f>
        <v>3.2259533620321065E-2</v>
      </c>
      <c r="M25" s="10">
        <f t="shared" si="19"/>
        <v>4.6014984000934088E-2</v>
      </c>
      <c r="N25" s="10">
        <f t="shared" si="19"/>
        <v>4.6014982145221116E-2</v>
      </c>
      <c r="O25" s="10">
        <f t="shared" si="19"/>
        <v>2.9329787843711961E-2</v>
      </c>
      <c r="P25" s="10">
        <f t="shared" si="19"/>
        <v>2.9329788469351532E-2</v>
      </c>
      <c r="Q25" s="10">
        <f t="shared" si="19"/>
        <v>7.095726775515207E-2</v>
      </c>
      <c r="R25" s="10">
        <f t="shared" si="19"/>
        <v>6.6079133519117553E-2</v>
      </c>
      <c r="S25" s="10">
        <f t="shared" si="19"/>
        <v>4.4276759789826904E-2</v>
      </c>
      <c r="T25" s="10">
        <f t="shared" si="19"/>
        <v>4.8680884990955992E-2</v>
      </c>
    </row>
    <row r="26" spans="1:20" ht="15" customHeight="1" x14ac:dyDescent="0.2">
      <c r="A26" s="6" t="s">
        <v>35</v>
      </c>
      <c r="B26" s="11">
        <f t="shared" ref="B26:J26" si="20">SUM(B24:B25)</f>
        <v>49526993</v>
      </c>
      <c r="C26" s="11">
        <f t="shared" si="20"/>
        <v>52356200</v>
      </c>
      <c r="D26" s="11">
        <f t="shared" si="20"/>
        <v>39999541</v>
      </c>
      <c r="E26" s="11">
        <f t="shared" si="20"/>
        <v>41118894</v>
      </c>
      <c r="F26" s="11">
        <f t="shared" si="20"/>
        <v>28479830</v>
      </c>
      <c r="G26" s="11">
        <f t="shared" si="20"/>
        <v>45683593</v>
      </c>
      <c r="H26" s="11">
        <f t="shared" si="20"/>
        <v>27164488</v>
      </c>
      <c r="I26" s="11">
        <f t="shared" si="20"/>
        <v>19742764</v>
      </c>
      <c r="J26" s="11">
        <f t="shared" si="20"/>
        <v>11077499</v>
      </c>
      <c r="L26" s="12">
        <f t="shared" ref="L26:T26" si="21">IFERROR(B26/B16,"")</f>
        <v>0.37902364377175374</v>
      </c>
      <c r="M26" s="12">
        <f t="shared" si="21"/>
        <v>0.33673977584546694</v>
      </c>
      <c r="N26" s="12">
        <f t="shared" si="21"/>
        <v>0.33673977020193463</v>
      </c>
      <c r="O26" s="12">
        <f t="shared" si="21"/>
        <v>0.28910312672386856</v>
      </c>
      <c r="P26" s="12">
        <f t="shared" si="21"/>
        <v>0.28910312356776741</v>
      </c>
      <c r="Q26" s="12">
        <f t="shared" si="21"/>
        <v>0.38798909618967603</v>
      </c>
      <c r="R26" s="12">
        <f t="shared" si="21"/>
        <v>0.40286846567548629</v>
      </c>
      <c r="S26" s="12">
        <f t="shared" si="21"/>
        <v>0.55728930878645422</v>
      </c>
      <c r="T26" s="12">
        <f t="shared" si="21"/>
        <v>0.5175780066402309</v>
      </c>
    </row>
    <row r="27" spans="1:20" ht="15" customHeight="1" x14ac:dyDescent="0.2">
      <c r="A27" s="6" t="s">
        <v>36</v>
      </c>
      <c r="B27" s="11">
        <f t="shared" ref="B27:J27" si="22">B22+B26</f>
        <v>73119204</v>
      </c>
      <c r="C27" s="11">
        <f t="shared" si="22"/>
        <v>78714736</v>
      </c>
      <c r="D27" s="11">
        <f t="shared" si="22"/>
        <v>60137162</v>
      </c>
      <c r="E27" s="11">
        <f t="shared" si="22"/>
        <v>86683569</v>
      </c>
      <c r="F27" s="11">
        <f t="shared" si="22"/>
        <v>60038904</v>
      </c>
      <c r="G27" s="11">
        <f t="shared" si="22"/>
        <v>83223996</v>
      </c>
      <c r="H27" s="11">
        <f t="shared" si="22"/>
        <v>49819047</v>
      </c>
      <c r="I27" s="11">
        <f t="shared" si="22"/>
        <v>29244525</v>
      </c>
      <c r="J27" s="11">
        <f t="shared" si="22"/>
        <v>19105349</v>
      </c>
      <c r="L27" s="12">
        <f t="shared" ref="L27:T27" si="23">IFERROR(B27/B16,"")</f>
        <v>0.55957176987850232</v>
      </c>
      <c r="M27" s="12">
        <f t="shared" si="23"/>
        <v>0.50627017538276475</v>
      </c>
      <c r="N27" s="12">
        <f t="shared" si="23"/>
        <v>0.50627016226202481</v>
      </c>
      <c r="O27" s="12">
        <f t="shared" si="23"/>
        <v>0.60946412696519037</v>
      </c>
      <c r="P27" s="12">
        <f t="shared" si="23"/>
        <v>0.60946412538225569</v>
      </c>
      <c r="Q27" s="12">
        <f t="shared" si="23"/>
        <v>0.70681837545775372</v>
      </c>
      <c r="R27" s="12">
        <f t="shared" si="23"/>
        <v>0.73885151180853981</v>
      </c>
      <c r="S27" s="12">
        <f t="shared" si="23"/>
        <v>0.82550047820245331</v>
      </c>
      <c r="T27" s="12">
        <f t="shared" si="23"/>
        <v>0.89266615610490496</v>
      </c>
    </row>
    <row r="28" spans="1:20" ht="15" customHeight="1" x14ac:dyDescent="0.2">
      <c r="A28" s="253" t="s">
        <v>37</v>
      </c>
      <c r="B28" s="253"/>
      <c r="C28" s="253"/>
      <c r="D28" s="253"/>
      <c r="E28" s="253"/>
      <c r="F28" s="253"/>
      <c r="G28" s="253"/>
      <c r="H28" s="253"/>
      <c r="I28" s="253"/>
      <c r="J28" s="253"/>
    </row>
    <row r="29" spans="1:20" ht="15" customHeight="1" x14ac:dyDescent="0.2">
      <c r="A29" s="8" t="s">
        <v>38</v>
      </c>
      <c r="B29" s="9">
        <v>5000000</v>
      </c>
      <c r="C29" s="9">
        <v>5000000</v>
      </c>
      <c r="D29" s="9">
        <v>5000000</v>
      </c>
      <c r="E29" s="9">
        <v>5000000</v>
      </c>
      <c r="F29" s="9">
        <v>5000000</v>
      </c>
      <c r="G29" s="9">
        <v>2500000</v>
      </c>
      <c r="H29" s="9">
        <v>2500000</v>
      </c>
      <c r="I29" s="9">
        <v>2500000</v>
      </c>
      <c r="J29" s="9">
        <v>2000000</v>
      </c>
      <c r="L29" s="10">
        <f t="shared" ref="L29:T29" si="24">IFERROR(B29/B16,"")</f>
        <v>3.8264350489818126E-2</v>
      </c>
      <c r="M29" s="10">
        <f t="shared" si="24"/>
        <v>3.2158538611040045E-2</v>
      </c>
      <c r="N29" s="10">
        <f t="shared" si="24"/>
        <v>4.2092954291892332E-2</v>
      </c>
      <c r="O29" s="10">
        <f t="shared" si="24"/>
        <v>3.5154535859338601E-2</v>
      </c>
      <c r="P29" s="10">
        <f t="shared" si="24"/>
        <v>5.0755767075816013E-2</v>
      </c>
      <c r="Q29" s="10">
        <f t="shared" si="24"/>
        <v>2.1232409203763594E-2</v>
      </c>
      <c r="R29" s="10">
        <f t="shared" si="24"/>
        <v>3.707675860442191E-2</v>
      </c>
      <c r="S29" s="10">
        <f t="shared" si="24"/>
        <v>7.0568805460377054E-2</v>
      </c>
      <c r="T29" s="10">
        <f t="shared" si="24"/>
        <v>9.3446725951450038E-2</v>
      </c>
    </row>
    <row r="30" spans="1:20" ht="15" customHeight="1" x14ac:dyDescent="0.2">
      <c r="A30" s="8" t="s">
        <v>811</v>
      </c>
      <c r="B30" s="9">
        <v>34610817</v>
      </c>
      <c r="C30" s="9">
        <v>34610817</v>
      </c>
      <c r="D30" s="9">
        <v>25262214</v>
      </c>
      <c r="E30" s="9">
        <v>25262214</v>
      </c>
      <c r="F30" s="9">
        <v>15960260</v>
      </c>
      <c r="G30" s="9">
        <v>15580732</v>
      </c>
      <c r="H30" s="9">
        <v>102575</v>
      </c>
      <c r="I30" s="9">
        <v>102575</v>
      </c>
      <c r="J30" s="9">
        <v>102575</v>
      </c>
      <c r="L30" s="10">
        <f t="shared" ref="L30:T30" si="25">IFERROR(B30/B16,"")</f>
        <v>0.26487208648539107</v>
      </c>
      <c r="M30" s="10">
        <f t="shared" si="25"/>
        <v>0.22260665897082824</v>
      </c>
      <c r="N30" s="10">
        <f t="shared" si="25"/>
        <v>0.21267224384280051</v>
      </c>
      <c r="O30" s="10">
        <f t="shared" si="25"/>
        <v>0.17761628158985712</v>
      </c>
      <c r="P30" s="10">
        <f t="shared" si="25"/>
        <v>0.16201504780589265</v>
      </c>
      <c r="Q30" s="10">
        <f t="shared" si="25"/>
        <v>0.13232659100726957</v>
      </c>
      <c r="R30" s="10">
        <f t="shared" si="25"/>
        <v>1.5212594055394309E-3</v>
      </c>
      <c r="S30" s="10">
        <f t="shared" si="25"/>
        <v>2.8954380880392705E-3</v>
      </c>
      <c r="T30" s="10">
        <f t="shared" si="25"/>
        <v>4.7926489572349936E-3</v>
      </c>
    </row>
    <row r="31" spans="1:20" ht="15" customHeight="1" x14ac:dyDescent="0.2">
      <c r="A31" s="8" t="s">
        <v>847</v>
      </c>
      <c r="B31" s="9">
        <v>-33904744</v>
      </c>
      <c r="C31" s="9">
        <v>-28127966</v>
      </c>
      <c r="D31" s="9">
        <v>-21489445</v>
      </c>
      <c r="E31" s="9">
        <v>-26269739</v>
      </c>
      <c r="F31" s="9">
        <v>-19197403</v>
      </c>
      <c r="G31" s="9">
        <v>-7750982</v>
      </c>
      <c r="H31" s="9">
        <v>15133908</v>
      </c>
      <c r="I31" s="9">
        <v>4289786</v>
      </c>
      <c r="J31" s="9">
        <v>1090681</v>
      </c>
      <c r="L31" s="10">
        <f t="shared" ref="L31:T31" si="26">IFERROR(B31/B16,"")</f>
        <v>-0.25946860153671164</v>
      </c>
      <c r="M31" s="10">
        <f t="shared" si="26"/>
        <v>-0.18091085613220431</v>
      </c>
      <c r="N31" s="10">
        <f t="shared" si="26"/>
        <v>-0.18091084522862683</v>
      </c>
      <c r="O31" s="10">
        <f t="shared" si="26"/>
        <v>-0.18470009633819315</v>
      </c>
      <c r="P31" s="10">
        <f t="shared" si="26"/>
        <v>-0.19487578302571432</v>
      </c>
      <c r="Q31" s="10">
        <f t="shared" si="26"/>
        <v>-6.5828808622002369E-2</v>
      </c>
      <c r="R31" s="10">
        <f t="shared" si="26"/>
        <v>0.22444650146301182</v>
      </c>
      <c r="S31" s="10">
        <f t="shared" si="26"/>
        <v>0.12109002948025963</v>
      </c>
      <c r="T31" s="10">
        <f t="shared" si="26"/>
        <v>5.0960284253726736E-2</v>
      </c>
    </row>
    <row r="32" spans="1:20" ht="15" customHeight="1" x14ac:dyDescent="0.2">
      <c r="A32" s="8" t="s">
        <v>41</v>
      </c>
      <c r="B32" s="9">
        <v>51844653</v>
      </c>
      <c r="C32" s="9">
        <v>65282115</v>
      </c>
      <c r="D32" s="9">
        <v>49874794</v>
      </c>
      <c r="E32" s="9">
        <v>51553113</v>
      </c>
      <c r="F32" s="9">
        <v>36709212</v>
      </c>
      <c r="G32" s="9">
        <v>24190782</v>
      </c>
      <c r="H32" s="9">
        <v>-127845</v>
      </c>
      <c r="I32" s="9">
        <v>-710468</v>
      </c>
      <c r="J32" s="9">
        <v>-896036</v>
      </c>
      <c r="L32" s="10">
        <f t="shared" ref="L32:T32" si="27">IFERROR(B32/B16,"")</f>
        <v>0.39676039468300012</v>
      </c>
      <c r="M32" s="10">
        <f t="shared" si="27"/>
        <v>0.41987548316757128</v>
      </c>
      <c r="N32" s="10">
        <f t="shared" si="27"/>
        <v>0.41987548483190917</v>
      </c>
      <c r="O32" s="10">
        <f t="shared" si="27"/>
        <v>0.36246515192380702</v>
      </c>
      <c r="P32" s="10">
        <f t="shared" si="27"/>
        <v>0.37264084276175002</v>
      </c>
      <c r="Q32" s="10">
        <f t="shared" si="27"/>
        <v>0.20545143295321547</v>
      </c>
      <c r="R32" s="10">
        <f t="shared" si="27"/>
        <v>-1.8960312815129276E-3</v>
      </c>
      <c r="S32" s="10">
        <f t="shared" si="27"/>
        <v>-2.0054751231129268E-2</v>
      </c>
      <c r="T32" s="10">
        <f t="shared" si="27"/>
        <v>-4.1865815267316739E-2</v>
      </c>
    </row>
    <row r="33" spans="1:20" ht="15" customHeight="1" x14ac:dyDescent="0.2">
      <c r="A33" s="6" t="s">
        <v>42</v>
      </c>
      <c r="B33" s="11">
        <f t="shared" ref="B33:J33" si="28">SUM(B29:B32)</f>
        <v>57550726</v>
      </c>
      <c r="C33" s="11">
        <f t="shared" si="28"/>
        <v>76764966</v>
      </c>
      <c r="D33" s="11">
        <f t="shared" si="28"/>
        <v>58647563</v>
      </c>
      <c r="E33" s="11">
        <f t="shared" si="28"/>
        <v>55545588</v>
      </c>
      <c r="F33" s="11">
        <f t="shared" si="28"/>
        <v>38472069</v>
      </c>
      <c r="G33" s="11">
        <f t="shared" si="28"/>
        <v>34520532</v>
      </c>
      <c r="H33" s="11">
        <f t="shared" si="28"/>
        <v>17608638</v>
      </c>
      <c r="I33" s="11">
        <f t="shared" si="28"/>
        <v>6181893</v>
      </c>
      <c r="J33" s="11">
        <f t="shared" si="28"/>
        <v>2297220</v>
      </c>
      <c r="L33" s="12">
        <f t="shared" ref="L33:T33" si="29">IFERROR(B33/B16,"")</f>
        <v>0.44042823012149773</v>
      </c>
      <c r="M33" s="12">
        <f t="shared" si="29"/>
        <v>0.49372982461723525</v>
      </c>
      <c r="N33" s="12">
        <f t="shared" si="29"/>
        <v>0.49372983773797513</v>
      </c>
      <c r="O33" s="12">
        <f t="shared" si="29"/>
        <v>0.39053587303480958</v>
      </c>
      <c r="P33" s="12">
        <f t="shared" si="29"/>
        <v>0.39053587461774436</v>
      </c>
      <c r="Q33" s="12">
        <f t="shared" si="29"/>
        <v>0.29318162454224622</v>
      </c>
      <c r="R33" s="12">
        <f t="shared" si="29"/>
        <v>0.26114848819146025</v>
      </c>
      <c r="S33" s="12">
        <f t="shared" si="29"/>
        <v>0.17449952179754669</v>
      </c>
      <c r="T33" s="12">
        <f t="shared" si="29"/>
        <v>0.10733384389509502</v>
      </c>
    </row>
    <row r="34" spans="1:20" ht="15" customHeight="1" x14ac:dyDescent="0.2">
      <c r="A34" s="6" t="s">
        <v>43</v>
      </c>
      <c r="B34" s="11">
        <f t="shared" ref="B34:J34" si="30">B27+B33</f>
        <v>130669930</v>
      </c>
      <c r="C34" s="11">
        <f t="shared" si="30"/>
        <v>155479702</v>
      </c>
      <c r="D34" s="11">
        <f t="shared" si="30"/>
        <v>118784725</v>
      </c>
      <c r="E34" s="11">
        <f t="shared" si="30"/>
        <v>142229157</v>
      </c>
      <c r="F34" s="11">
        <f t="shared" si="30"/>
        <v>98510973</v>
      </c>
      <c r="G34" s="11">
        <f t="shared" si="30"/>
        <v>117744528</v>
      </c>
      <c r="H34" s="11">
        <f t="shared" si="30"/>
        <v>67427685</v>
      </c>
      <c r="I34" s="11">
        <f t="shared" si="30"/>
        <v>35426418</v>
      </c>
      <c r="J34" s="11">
        <f t="shared" si="30"/>
        <v>21402569</v>
      </c>
      <c r="L34" s="12">
        <f t="shared" ref="L34:T34" si="31">IFERROR(B34/B16,"")</f>
        <v>1</v>
      </c>
      <c r="M34" s="12">
        <f t="shared" si="31"/>
        <v>1</v>
      </c>
      <c r="N34" s="12">
        <f t="shared" si="31"/>
        <v>1</v>
      </c>
      <c r="O34" s="12">
        <f t="shared" si="31"/>
        <v>1</v>
      </c>
      <c r="P34" s="12">
        <f t="shared" si="31"/>
        <v>1</v>
      </c>
      <c r="Q34" s="12">
        <f t="shared" si="31"/>
        <v>1</v>
      </c>
      <c r="R34" s="12">
        <f t="shared" si="31"/>
        <v>1</v>
      </c>
      <c r="S34" s="12">
        <f t="shared" si="31"/>
        <v>1</v>
      </c>
      <c r="T34" s="12">
        <f t="shared" si="31"/>
        <v>1</v>
      </c>
    </row>
    <row r="39" spans="1:20" ht="18" customHeight="1" x14ac:dyDescent="0.2">
      <c r="L39" s="263" t="s">
        <v>44</v>
      </c>
      <c r="M39" s="263"/>
      <c r="N39" s="263"/>
      <c r="O39" s="263"/>
      <c r="P39" s="263"/>
      <c r="Q39" s="263"/>
      <c r="R39" s="263"/>
      <c r="S39" s="263"/>
      <c r="T39" s="263"/>
    </row>
    <row r="40" spans="1:20" ht="21.75" customHeight="1" x14ac:dyDescent="0.2">
      <c r="K40" s="249" t="s">
        <v>45</v>
      </c>
      <c r="L40" s="7" t="s">
        <v>46</v>
      </c>
      <c r="M40" s="7" t="s">
        <v>47</v>
      </c>
      <c r="N40" s="7" t="s">
        <v>48</v>
      </c>
      <c r="O40" s="7" t="s">
        <v>49</v>
      </c>
      <c r="P40" s="7" t="s">
        <v>50</v>
      </c>
    </row>
    <row r="41" spans="1:20" ht="15" customHeight="1" x14ac:dyDescent="0.2">
      <c r="K41" s="8" t="s">
        <v>51</v>
      </c>
      <c r="L41" s="10">
        <f>IFERROR((B5-C5)/ABS(C5),"-")</f>
        <v>1.4831385851186698</v>
      </c>
      <c r="M41" s="10">
        <f>IFERROR((D5-E5)/ABS(E5),"-")</f>
        <v>-0.44772563326888598</v>
      </c>
      <c r="N41" s="10">
        <f>IFERROR((F5-G5)/ABS(G5),"-")</f>
        <v>-0.49097392719388228</v>
      </c>
      <c r="O41" s="10">
        <f t="shared" ref="O41:P45" si="32">IFERROR((H5-I5)/ABS(I5),"-")</f>
        <v>0.9687636093487153</v>
      </c>
      <c r="P41" s="10">
        <f t="shared" si="32"/>
        <v>0.60791911181166369</v>
      </c>
    </row>
    <row r="42" spans="1:20" ht="15" customHeight="1" x14ac:dyDescent="0.2">
      <c r="K42" s="8" t="s">
        <v>52</v>
      </c>
      <c r="L42" s="10" t="str">
        <f>IFERROR((B6-C6)/ABS(C6),"-")</f>
        <v>-</v>
      </c>
      <c r="M42" s="10">
        <f>IFERROR((D6-E6)/ABS(E6),"-")</f>
        <v>-1</v>
      </c>
      <c r="N42" s="10">
        <f>IFERROR((F6-G6)/ABS(G6),"-")</f>
        <v>-0.63211614638692659</v>
      </c>
      <c r="O42" s="10">
        <f t="shared" si="32"/>
        <v>1.201989457347747</v>
      </c>
      <c r="P42" s="10">
        <f t="shared" si="32"/>
        <v>0.156231388594544</v>
      </c>
    </row>
    <row r="43" spans="1:20" ht="15" customHeight="1" x14ac:dyDescent="0.2">
      <c r="K43" s="8" t="s">
        <v>53</v>
      </c>
      <c r="L43" s="10">
        <f>IFERROR((B7-C7)/ABS(C7),"-")</f>
        <v>2.7637424252994168E-2</v>
      </c>
      <c r="M43" s="10">
        <f>IFERROR((D7-E7)/ABS(E7),"-")</f>
        <v>-0.255065960707346</v>
      </c>
      <c r="N43" s="10">
        <f>IFERROR((F7-G7)/ABS(G7),"-")</f>
        <v>-0.4927907038408888</v>
      </c>
      <c r="O43" s="10">
        <f t="shared" si="32"/>
        <v>1.4738497122985308</v>
      </c>
      <c r="P43" s="10">
        <f t="shared" si="32"/>
        <v>0.99897682009449495</v>
      </c>
    </row>
    <row r="44" spans="1:20" ht="15" customHeight="1" x14ac:dyDescent="0.2">
      <c r="K44" s="8" t="s">
        <v>55</v>
      </c>
      <c r="L44" s="10">
        <f>IFERROR((B8-C8)/ABS(C8),"-")</f>
        <v>5.8631919073647711E-2</v>
      </c>
      <c r="M44" s="10">
        <f>IFERROR((D8-E8)/ABS(E8),"-")</f>
        <v>-0.67324133730112867</v>
      </c>
      <c r="N44" s="10">
        <f>IFERROR((F8-G8)/ABS(G8),"-")</f>
        <v>0.94944789878296831</v>
      </c>
      <c r="O44" s="10">
        <f t="shared" si="32"/>
        <v>0.65021605925188874</v>
      </c>
      <c r="P44" s="10">
        <f t="shared" si="32"/>
        <v>0.38735591923879775</v>
      </c>
    </row>
    <row r="45" spans="1:20" ht="15" customHeight="1" x14ac:dyDescent="0.2">
      <c r="K45" s="8" t="s">
        <v>56</v>
      </c>
      <c r="L45" s="10">
        <f>IFERROR((B9-C9)/ABS(C9),"-")</f>
        <v>0.29966302017759905</v>
      </c>
      <c r="M45" s="10">
        <f>IFERROR((D9-E9)/ABS(E9),"-")</f>
        <v>-0.53154602811754148</v>
      </c>
      <c r="N45" s="10">
        <f>IFERROR((F9-G9)/ABS(G9),"-")</f>
        <v>-0.12233302345659629</v>
      </c>
      <c r="O45" s="10">
        <f t="shared" si="32"/>
        <v>1.0956445267771298</v>
      </c>
      <c r="P45" s="10">
        <f t="shared" si="32"/>
        <v>0.63251670153879691</v>
      </c>
    </row>
    <row r="46" spans="1:20" ht="15" customHeight="1" x14ac:dyDescent="0.2">
      <c r="K46" s="8" t="s">
        <v>57</v>
      </c>
      <c r="L46" s="10">
        <f>IFERROR((B11-C11)/ABS(C11),"-")</f>
        <v>-0.30109702351084744</v>
      </c>
      <c r="M46" s="10">
        <f>IFERROR((D11-E11)/ABS(E11),"-")</f>
        <v>-5.8281398202981269E-2</v>
      </c>
      <c r="N46" s="10">
        <f>IFERROR((F11-G11)/ABS(G11),"-")</f>
        <v>-0.29050930305288397</v>
      </c>
      <c r="O46" s="10">
        <f t="shared" ref="O46:P49" si="33">IFERROR((H11-I11)/ABS(I11),"-")</f>
        <v>0.8440067920606853</v>
      </c>
      <c r="P46" s="10">
        <f t="shared" si="33"/>
        <v>0.74380792755311897</v>
      </c>
    </row>
    <row r="47" spans="1:20" ht="15" customHeight="1" x14ac:dyDescent="0.2">
      <c r="K47" s="8" t="s">
        <v>58</v>
      </c>
      <c r="L47" s="10">
        <f>IFERROR((B12-C12)/ABS(C12),"-")</f>
        <v>-5.4731336252215552E-2</v>
      </c>
      <c r="M47" s="10">
        <f>IFERROR((D12-E12)/ABS(E12),"-")</f>
        <v>-5.185190140815784E-2</v>
      </c>
      <c r="N47" s="10">
        <f>IFERROR((F12-G12)/ABS(G12),"-")</f>
        <v>-0.1313373086923211</v>
      </c>
      <c r="O47" s="10">
        <f t="shared" si="33"/>
        <v>-3.7697527155195962E-2</v>
      </c>
      <c r="P47" s="10">
        <f t="shared" si="33"/>
        <v>-3.7832962922899993E-3</v>
      </c>
    </row>
    <row r="48" spans="1:20" ht="15" customHeight="1" x14ac:dyDescent="0.2">
      <c r="K48" s="8" t="s">
        <v>59</v>
      </c>
      <c r="L48" s="10">
        <f>IFERROR((B13-C13)/ABS(C13),"-")</f>
        <v>-0.14650762801926182</v>
      </c>
      <c r="M48" s="10">
        <f>IFERROR((D13-E13)/ABS(E13),"-")</f>
        <v>-9.6278395139060335E-2</v>
      </c>
      <c r="N48" s="10">
        <f>IFERROR((F13-G13)/ABS(G13),"-")</f>
        <v>4.2298917752840594E-2</v>
      </c>
      <c r="O48" s="10">
        <f t="shared" si="33"/>
        <v>1.0512863444582043</v>
      </c>
      <c r="P48" s="10">
        <f t="shared" si="33"/>
        <v>0.68024091554732791</v>
      </c>
    </row>
    <row r="49" spans="11:16" ht="15" customHeight="1" x14ac:dyDescent="0.2">
      <c r="K49" s="8" t="s">
        <v>60</v>
      </c>
      <c r="L49" s="10">
        <f>IFERROR((B14-C14)/ABS(C14),"-")</f>
        <v>-0.21801139630227201</v>
      </c>
      <c r="M49" s="10">
        <f>IFERROR((D14-E14)/ABS(E14),"-")</f>
        <v>-7.2430289454580285E-2</v>
      </c>
      <c r="N49" s="10">
        <f>IFERROR((F14-G14)/ABS(G14),"-")</f>
        <v>-0.17308779757408596</v>
      </c>
      <c r="O49" s="10">
        <f t="shared" si="33"/>
        <v>0.8603322273455547</v>
      </c>
      <c r="P49" s="10">
        <f t="shared" si="33"/>
        <v>0.66040699569110139</v>
      </c>
    </row>
    <row r="50" spans="11:16" ht="15" customHeight="1" x14ac:dyDescent="0.2">
      <c r="K50" s="8" t="s">
        <v>61</v>
      </c>
      <c r="L50" s="10">
        <f>IFERROR((B16-C16)/ABS(C16),"-")</f>
        <v>-0.15956920215862003</v>
      </c>
      <c r="M50" s="10">
        <f>IFERROR((D16-E16)/ABS(E16),"-")</f>
        <v>-0.16483562508916508</v>
      </c>
      <c r="N50" s="10">
        <f>IFERROR((F16-G16)/ABS(G16),"-")</f>
        <v>-0.1633498840812373</v>
      </c>
      <c r="O50" s="10">
        <f>IFERROR((H16-I16)/ABS(I16),"-")</f>
        <v>0.90331647416343364</v>
      </c>
      <c r="P50" s="10">
        <f>IFERROR((I16-J16)/ABS(J16),"-")</f>
        <v>0.65524138714375835</v>
      </c>
    </row>
    <row r="51" spans="11:16" ht="15" customHeight="1" x14ac:dyDescent="0.2">
      <c r="K51" s="8" t="s">
        <v>62</v>
      </c>
      <c r="L51" s="10">
        <f>IFERROR((B19-C19)/ABS(C19),"-")</f>
        <v>-0.22435877138509203</v>
      </c>
      <c r="M51" s="10">
        <f>IFERROR((D19-E19)/ABS(E19),"-")</f>
        <v>-0.54127407848353226</v>
      </c>
      <c r="N51" s="10">
        <f>IFERROR((F19-G19)/ABS(G19),"-")</f>
        <v>-0.12433418147064908</v>
      </c>
      <c r="O51" s="10">
        <f>IFERROR((H19-I19)/ABS(I19),"-")</f>
        <v>1.0885522904231835</v>
      </c>
      <c r="P51" s="10">
        <f>IFERROR((I19-J19)/ABS(J19),"-")</f>
        <v>0.15491789464488728</v>
      </c>
    </row>
    <row r="52" spans="11:16" ht="15" customHeight="1" x14ac:dyDescent="0.2">
      <c r="K52" s="8" t="s">
        <v>63</v>
      </c>
      <c r="L52" s="10">
        <f>IFERROR((B20-C20)/ABS(C20),"-")</f>
        <v>2.272963250432701E-2</v>
      </c>
      <c r="M52" s="10">
        <f>IFERROR((D20-E20)/ABS(E20),"-")</f>
        <v>-9.3764541854927996E-2</v>
      </c>
      <c r="N52" s="10">
        <f>IFERROR((F20-G20)/ABS(G20),"-")</f>
        <v>-0.59103648394306429</v>
      </c>
      <c r="O52" s="10">
        <f>IFERROR((H20-I20)/ABS(I20),"-")</f>
        <v>1.7372691347696758</v>
      </c>
      <c r="P52" s="10">
        <f>IFERROR((I20-J20)/ABS(J20),"-")</f>
        <v>0.20684279180703424</v>
      </c>
    </row>
    <row r="53" spans="11:16" ht="15" customHeight="1" x14ac:dyDescent="0.2">
      <c r="K53" s="8" t="s">
        <v>64</v>
      </c>
      <c r="L53" s="10">
        <f>IFERROR((B22-C22)/ABS(C22),"-")</f>
        <v>-0.1049498727850439</v>
      </c>
      <c r="M53" s="10">
        <f>IFERROR((D22-E22)/ABS(E22),"-")</f>
        <v>-0.55804313319473908</v>
      </c>
      <c r="N53" s="10">
        <f>IFERROR((F22-G22)/ABS(G22),"-")</f>
        <v>-0.1593304419241317</v>
      </c>
      <c r="O53" s="10">
        <f>IFERROR((H22-I22)/ABS(I22),"-")</f>
        <v>1.3842484566808195</v>
      </c>
      <c r="P53" s="10">
        <f>IFERROR((I22-J22)/ABS(J22),"-")</f>
        <v>0.18359971848004136</v>
      </c>
    </row>
    <row r="54" spans="11:16" ht="15" customHeight="1" x14ac:dyDescent="0.2">
      <c r="K54" s="8" t="s">
        <v>65</v>
      </c>
      <c r="L54" s="10">
        <f>IFERROR((B24-C24)/ABS(C24),"-")</f>
        <v>2.4299472649365939E-3</v>
      </c>
      <c r="M54" s="10">
        <f>IFERROR((D24-E24)/ABS(E24),"-")</f>
        <v>-6.5327539249574726E-2</v>
      </c>
      <c r="N54" s="10">
        <f>IFERROR((F24-G24)/ABS(G24),"-")</f>
        <v>-0.31445561161509694</v>
      </c>
      <c r="O54" s="10">
        <f>IFERROR((H24-I24)/ABS(I24),"-")</f>
        <v>0.24951462779896136</v>
      </c>
      <c r="P54" s="10">
        <f>IFERROR((I24-J24)/ABS(J24),"-")</f>
        <v>0.81097209604644582</v>
      </c>
    </row>
    <row r="55" spans="11:16" ht="15" customHeight="1" x14ac:dyDescent="0.2">
      <c r="K55" s="8" t="s">
        <v>66</v>
      </c>
      <c r="L55" s="10">
        <f>IFERROR((B26-C26)/ABS(C26),"-")</f>
        <v>-5.403766889117239E-2</v>
      </c>
      <c r="M55" s="10">
        <f>IFERROR((D26-E26)/ABS(E26),"-")</f>
        <v>-2.7222351846331275E-2</v>
      </c>
      <c r="N55" s="10">
        <f>IFERROR((F26-G26)/ABS(G26),"-")</f>
        <v>-0.37658515607561777</v>
      </c>
      <c r="O55" s="10">
        <f>IFERROR((H26-I26)/ABS(I26),"-")</f>
        <v>0.37592122359361635</v>
      </c>
      <c r="P55" s="10">
        <f>IFERROR((I26-J26)/ABS(J26),"-")</f>
        <v>0.78224019699753522</v>
      </c>
    </row>
    <row r="56" spans="11:16" ht="15" customHeight="1" x14ac:dyDescent="0.2">
      <c r="K56" s="8" t="s">
        <v>67</v>
      </c>
      <c r="L56" s="10">
        <f>IFERROR((B27-C27)/ABS(C27),"-")</f>
        <v>-7.1086206780900593E-2</v>
      </c>
      <c r="M56" s="10">
        <f>IFERROR((D27-E27)/ABS(E27),"-")</f>
        <v>-0.30624497013961205</v>
      </c>
      <c r="N56" s="10">
        <f>IFERROR((F27-G27)/ABS(G27),"-")</f>
        <v>-0.27858662302156217</v>
      </c>
      <c r="O56" s="10">
        <f>IFERROR((H27-I27)/ABS(I27),"-")</f>
        <v>0.70353414869962838</v>
      </c>
      <c r="P56" s="10">
        <f>IFERROR((I27-J27)/ABS(J27),"-")</f>
        <v>0.53069828768896088</v>
      </c>
    </row>
    <row r="57" spans="11:16" ht="15" customHeight="1" x14ac:dyDescent="0.2">
      <c r="K57" s="8" t="s">
        <v>68</v>
      </c>
      <c r="L57" s="10">
        <f>IFERROR((B29-C29)/ABS(C29),"-")</f>
        <v>0</v>
      </c>
      <c r="M57" s="10">
        <f>IFERROR((D29-E29)/ABS(E29),"-")</f>
        <v>0</v>
      </c>
      <c r="N57" s="10">
        <f>IFERROR((F29-G29)/ABS(G29),"-")</f>
        <v>1</v>
      </c>
      <c r="O57" s="10">
        <f>IFERROR((H29-I29)/ABS(I29),"-")</f>
        <v>0</v>
      </c>
      <c r="P57" s="10">
        <f>IFERROR((I29-J29)/ABS(J29),"-")</f>
        <v>0.25</v>
      </c>
    </row>
    <row r="58" spans="11:16" ht="15" customHeight="1" x14ac:dyDescent="0.2">
      <c r="K58" s="8" t="s">
        <v>69</v>
      </c>
      <c r="L58" s="10">
        <f>IFERROR((B30-C30)/ABS(C30),"-")</f>
        <v>0</v>
      </c>
      <c r="M58" s="10">
        <f>IFERROR((D30-E30)/ABS(E30),"-")</f>
        <v>0</v>
      </c>
      <c r="N58" s="10">
        <f>IFERROR((F30-G30)/ABS(G30),"-")</f>
        <v>2.435880419482217E-2</v>
      </c>
      <c r="O58" s="10">
        <f>IFERROR((H30-I30)/ABS(I30),"-")</f>
        <v>0</v>
      </c>
      <c r="P58" s="10">
        <f>IFERROR((I30-J30)/ABS(J30),"-")</f>
        <v>0</v>
      </c>
    </row>
    <row r="59" spans="11:16" ht="15" customHeight="1" x14ac:dyDescent="0.2">
      <c r="K59" s="8" t="s">
        <v>70</v>
      </c>
      <c r="L59" s="10">
        <f>IFERROR((B33-C33)/ABS(C33),"-")</f>
        <v>-0.25029959630282389</v>
      </c>
      <c r="M59" s="10">
        <f>IFERROR((D33-E33)/ABS(E33),"-")</f>
        <v>5.5845569588713326E-2</v>
      </c>
      <c r="N59" s="10">
        <f>IFERROR((F33-G33)/ABS(G33),"-")</f>
        <v>0.11446918025481183</v>
      </c>
      <c r="O59" s="10">
        <f>IFERROR((H33-I33)/ABS(I33),"-")</f>
        <v>1.848421672778872</v>
      </c>
      <c r="P59" s="10">
        <f>IFERROR((I33-J33)/ABS(J33),"-")</f>
        <v>1.6910322041423982</v>
      </c>
    </row>
    <row r="60" spans="11:16" ht="15" customHeight="1" x14ac:dyDescent="0.2">
      <c r="K60" s="8" t="s">
        <v>71</v>
      </c>
      <c r="L60" s="10">
        <f>IFERROR((B34-C34)/ABS(C34),"-")</f>
        <v>-0.15956920215862003</v>
      </c>
      <c r="M60" s="10">
        <f>IFERROR((D34-E34)/ABS(E34),"-")</f>
        <v>-0.16483562508916508</v>
      </c>
      <c r="N60" s="10">
        <f>IFERROR((F34-G34)/ABS(G34),"-")</f>
        <v>-0.1633498840812373</v>
      </c>
      <c r="O60" s="10">
        <f>IFERROR((H34-I34)/ABS(I34),"-")</f>
        <v>0.90331647416343364</v>
      </c>
      <c r="P60" s="10">
        <f>IFERROR((I34-J34)/ABS(J34),"-")</f>
        <v>0.65524138714375835</v>
      </c>
    </row>
  </sheetData>
  <mergeCells count="10">
    <mergeCell ref="A1:J1"/>
    <mergeCell ref="L1:T1"/>
    <mergeCell ref="A3:J3"/>
    <mergeCell ref="A4:J4"/>
    <mergeCell ref="A10:J10"/>
    <mergeCell ref="A17:J17"/>
    <mergeCell ref="A18:J18"/>
    <mergeCell ref="A23:J23"/>
    <mergeCell ref="A28:J28"/>
    <mergeCell ref="L39:T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4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4" customWidth="1"/>
    <col min="2" max="10" width="16" customWidth="1"/>
    <col min="11" max="11" width="28" customWidth="1"/>
    <col min="12" max="20" width="16" customWidth="1"/>
  </cols>
  <sheetData>
    <row r="1" spans="1:20" ht="21.75" customHeight="1" x14ac:dyDescent="0.2">
      <c r="A1" s="254" t="s">
        <v>848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73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74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8" t="s">
        <v>75</v>
      </c>
      <c r="B4" s="9">
        <v>36197416</v>
      </c>
      <c r="C4" s="9">
        <v>38819421</v>
      </c>
      <c r="D4" s="9">
        <v>29657596</v>
      </c>
      <c r="E4" s="9">
        <v>39389311</v>
      </c>
      <c r="F4" s="9">
        <v>27281884</v>
      </c>
      <c r="G4" s="9">
        <v>38806100</v>
      </c>
      <c r="H4" s="9">
        <v>30067398</v>
      </c>
      <c r="I4" s="9">
        <v>11634808</v>
      </c>
      <c r="J4" s="9">
        <v>8579113</v>
      </c>
      <c r="L4" s="10">
        <f t="shared" ref="L4:T4" si="0">IFERROR(B4/B4,"")</f>
        <v>1</v>
      </c>
      <c r="M4" s="10">
        <f t="shared" si="0"/>
        <v>1</v>
      </c>
      <c r="N4" s="10">
        <f t="shared" si="0"/>
        <v>1</v>
      </c>
      <c r="O4" s="10">
        <f t="shared" si="0"/>
        <v>1</v>
      </c>
      <c r="P4" s="10">
        <f t="shared" si="0"/>
        <v>1</v>
      </c>
      <c r="Q4" s="10">
        <f t="shared" si="0"/>
        <v>1</v>
      </c>
      <c r="R4" s="10">
        <f t="shared" si="0"/>
        <v>1</v>
      </c>
      <c r="S4" s="10">
        <f t="shared" si="0"/>
        <v>1</v>
      </c>
      <c r="T4" s="10">
        <f t="shared" si="0"/>
        <v>1</v>
      </c>
    </row>
    <row r="5" spans="1:20" ht="15" customHeight="1" x14ac:dyDescent="0.2">
      <c r="A5" s="8" t="s">
        <v>76</v>
      </c>
      <c r="B5" s="9">
        <v>-33141290</v>
      </c>
      <c r="C5" s="9">
        <v>-33963268</v>
      </c>
      <c r="D5" s="9">
        <v>-25947551</v>
      </c>
      <c r="E5" s="9">
        <v>-33957316</v>
      </c>
      <c r="F5" s="9">
        <v>-23519567</v>
      </c>
      <c r="G5" s="9">
        <v>-33147866</v>
      </c>
      <c r="H5" s="9">
        <v>-26171178</v>
      </c>
      <c r="I5" s="9">
        <v>-9771696</v>
      </c>
      <c r="J5" s="9">
        <v>-7062390</v>
      </c>
      <c r="L5" s="10">
        <f t="shared" ref="L5:T5" si="1">IFERROR(B5/B4,"")</f>
        <v>-0.91557060316128647</v>
      </c>
      <c r="M5" s="10">
        <f t="shared" si="1"/>
        <v>-0.87490403321574528</v>
      </c>
      <c r="N5" s="10">
        <f t="shared" si="1"/>
        <v>-0.87490405493418955</v>
      </c>
      <c r="O5" s="10">
        <f t="shared" si="1"/>
        <v>-0.86209469365940417</v>
      </c>
      <c r="P5" s="10">
        <f t="shared" si="1"/>
        <v>-0.86209467791887096</v>
      </c>
      <c r="Q5" s="10">
        <f t="shared" si="1"/>
        <v>-0.85419215020318973</v>
      </c>
      <c r="R5" s="10">
        <f t="shared" si="1"/>
        <v>-0.87041712089619461</v>
      </c>
      <c r="S5" s="10">
        <f t="shared" si="1"/>
        <v>-0.83986740477367572</v>
      </c>
      <c r="T5" s="10">
        <f t="shared" si="1"/>
        <v>-0.82320748077336203</v>
      </c>
    </row>
    <row r="6" spans="1:20" ht="15" customHeight="1" x14ac:dyDescent="0.2">
      <c r="A6" s="6" t="s">
        <v>77</v>
      </c>
      <c r="B6" s="11">
        <f t="shared" ref="B6:J6" si="2">B4+B5</f>
        <v>3056126</v>
      </c>
      <c r="C6" s="11">
        <f t="shared" si="2"/>
        <v>4856153</v>
      </c>
      <c r="D6" s="11">
        <f t="shared" si="2"/>
        <v>3710045</v>
      </c>
      <c r="E6" s="11">
        <f t="shared" si="2"/>
        <v>5431995</v>
      </c>
      <c r="F6" s="11">
        <f t="shared" si="2"/>
        <v>3762317</v>
      </c>
      <c r="G6" s="11">
        <f t="shared" si="2"/>
        <v>5658234</v>
      </c>
      <c r="H6" s="11">
        <f t="shared" si="2"/>
        <v>3896220</v>
      </c>
      <c r="I6" s="11">
        <f t="shared" si="2"/>
        <v>1863112</v>
      </c>
      <c r="J6" s="11">
        <f t="shared" si="2"/>
        <v>1516723</v>
      </c>
      <c r="L6" s="12">
        <f t="shared" ref="L6:T6" si="3">IFERROR(B6/B4,"")</f>
        <v>8.4429396838713575E-2</v>
      </c>
      <c r="M6" s="12">
        <f t="shared" si="3"/>
        <v>0.12509596678425472</v>
      </c>
      <c r="N6" s="12">
        <f t="shared" si="3"/>
        <v>0.12509594506581045</v>
      </c>
      <c r="O6" s="12">
        <f t="shared" si="3"/>
        <v>0.13790530634059581</v>
      </c>
      <c r="P6" s="12">
        <f t="shared" si="3"/>
        <v>0.13790532208112899</v>
      </c>
      <c r="Q6" s="12">
        <f t="shared" si="3"/>
        <v>0.1458078497968103</v>
      </c>
      <c r="R6" s="12">
        <f t="shared" si="3"/>
        <v>0.12958287910380539</v>
      </c>
      <c r="S6" s="12">
        <f t="shared" si="3"/>
        <v>0.16013259522632431</v>
      </c>
      <c r="T6" s="12">
        <f t="shared" si="3"/>
        <v>0.176792519226638</v>
      </c>
    </row>
    <row r="7" spans="1:20" ht="15" customHeight="1" x14ac:dyDescent="0.2">
      <c r="A7" s="8" t="s">
        <v>78</v>
      </c>
      <c r="B7" s="9">
        <v>-2083837</v>
      </c>
      <c r="C7" s="9">
        <v>-2229803</v>
      </c>
      <c r="D7" s="9">
        <v>-1703544</v>
      </c>
      <c r="E7" s="9">
        <v>-2036018</v>
      </c>
      <c r="F7" s="9">
        <v>-1410190</v>
      </c>
      <c r="G7" s="9">
        <v>-1097809</v>
      </c>
      <c r="H7" s="9">
        <v>-689170</v>
      </c>
      <c r="I7" s="9">
        <v>-362228</v>
      </c>
      <c r="J7" s="9">
        <v>-265958</v>
      </c>
      <c r="L7" s="10">
        <f t="shared" ref="L7:T7" si="4">IFERROR(B7/B4,"")</f>
        <v>-5.7568667332496881E-2</v>
      </c>
      <c r="M7" s="10">
        <f t="shared" si="4"/>
        <v>-5.7440398196562485E-2</v>
      </c>
      <c r="N7" s="10">
        <f t="shared" si="4"/>
        <v>-5.7440394022495955E-2</v>
      </c>
      <c r="O7" s="10">
        <f t="shared" si="4"/>
        <v>-5.1689606858063598E-2</v>
      </c>
      <c r="P7" s="10">
        <f t="shared" si="4"/>
        <v>-5.1689612051719007E-2</v>
      </c>
      <c r="Q7" s="10">
        <f t="shared" si="4"/>
        <v>-2.828959880018863E-2</v>
      </c>
      <c r="R7" s="10">
        <f t="shared" si="4"/>
        <v>-2.2920839375592129E-2</v>
      </c>
      <c r="S7" s="10">
        <f t="shared" si="4"/>
        <v>-3.1133130860431905E-2</v>
      </c>
      <c r="T7" s="10">
        <f t="shared" si="4"/>
        <v>-3.1000640742230579E-2</v>
      </c>
    </row>
    <row r="8" spans="1:20" ht="15" customHeight="1" x14ac:dyDescent="0.2">
      <c r="A8" s="8" t="s">
        <v>79</v>
      </c>
      <c r="B8" s="9">
        <v>-290155</v>
      </c>
      <c r="C8" s="9">
        <v>-310252</v>
      </c>
      <c r="D8" s="9">
        <v>-237029</v>
      </c>
      <c r="E8" s="9">
        <v>-236760</v>
      </c>
      <c r="F8" s="9">
        <v>-163985</v>
      </c>
      <c r="G8" s="9">
        <v>-156663</v>
      </c>
      <c r="H8" s="9">
        <v>-77351</v>
      </c>
      <c r="I8" s="9">
        <v>-34654</v>
      </c>
      <c r="J8" s="9">
        <v>-37021</v>
      </c>
      <c r="L8" s="10">
        <f t="shared" ref="L8:T8" si="5">IFERROR(B8/B4,"")</f>
        <v>-8.0159036766602344E-3</v>
      </c>
      <c r="M8" s="10">
        <f t="shared" si="5"/>
        <v>-7.9921851487687046E-3</v>
      </c>
      <c r="N8" s="10">
        <f t="shared" si="5"/>
        <v>-7.9921852061104349E-3</v>
      </c>
      <c r="O8" s="10">
        <f t="shared" si="5"/>
        <v>-6.0107677435637299E-3</v>
      </c>
      <c r="P8" s="10">
        <f t="shared" si="5"/>
        <v>-6.010765238940243E-3</v>
      </c>
      <c r="Q8" s="10">
        <f t="shared" si="5"/>
        <v>-4.037071491337702E-3</v>
      </c>
      <c r="R8" s="10">
        <f t="shared" si="5"/>
        <v>-2.5725870925046457E-3</v>
      </c>
      <c r="S8" s="10">
        <f t="shared" si="5"/>
        <v>-2.9784763100516999E-3</v>
      </c>
      <c r="T8" s="10">
        <f t="shared" si="5"/>
        <v>-4.3152479749363369E-3</v>
      </c>
    </row>
    <row r="9" spans="1:20" ht="15" customHeight="1" x14ac:dyDescent="0.2">
      <c r="A9" s="8" t="s">
        <v>849</v>
      </c>
      <c r="B9" s="9">
        <v>13041517</v>
      </c>
      <c r="C9" s="9">
        <v>10140320</v>
      </c>
      <c r="D9" s="9">
        <v>7747089</v>
      </c>
      <c r="E9" s="9">
        <v>10244405</v>
      </c>
      <c r="F9" s="9">
        <v>7095495</v>
      </c>
      <c r="G9" s="9">
        <v>1529530</v>
      </c>
      <c r="H9" s="9">
        <v>3903157</v>
      </c>
      <c r="I9" s="9">
        <v>1838219</v>
      </c>
      <c r="J9" s="9">
        <v>859096</v>
      </c>
      <c r="L9" s="10">
        <f t="shared" ref="L9:T9" si="6">IFERROR(B9/B4,"")</f>
        <v>0.36028861839198689</v>
      </c>
      <c r="M9" s="10">
        <f t="shared" si="6"/>
        <v>0.26121770337584377</v>
      </c>
      <c r="N9" s="10">
        <f t="shared" si="6"/>
        <v>0.26121769950605572</v>
      </c>
      <c r="O9" s="10">
        <f t="shared" si="6"/>
        <v>0.26008083766684825</v>
      </c>
      <c r="P9" s="10">
        <f t="shared" si="6"/>
        <v>0.26008082872869043</v>
      </c>
      <c r="Q9" s="10">
        <f t="shared" si="6"/>
        <v>3.9414679650879629E-2</v>
      </c>
      <c r="R9" s="10">
        <f t="shared" si="6"/>
        <v>0.12981359411279952</v>
      </c>
      <c r="S9" s="10">
        <f t="shared" si="6"/>
        <v>0.157993067010646</v>
      </c>
      <c r="T9" s="10">
        <f t="shared" si="6"/>
        <v>0.10013809119893863</v>
      </c>
    </row>
    <row r="10" spans="1:20" ht="15" customHeight="1" x14ac:dyDescent="0.2">
      <c r="A10" s="8" t="s">
        <v>850</v>
      </c>
      <c r="B10" s="9">
        <v>-6324351</v>
      </c>
      <c r="C10" s="9">
        <v>-3607526</v>
      </c>
      <c r="D10" s="9">
        <v>-2756109</v>
      </c>
      <c r="E10" s="9">
        <v>-2687832</v>
      </c>
      <c r="F10" s="9">
        <v>-1861650</v>
      </c>
      <c r="G10" s="9">
        <v>-961790</v>
      </c>
      <c r="H10" s="9">
        <v>-1637358</v>
      </c>
      <c r="I10" s="9">
        <v>-578029</v>
      </c>
      <c r="J10" s="9">
        <v>-301662</v>
      </c>
      <c r="L10" s="10">
        <f t="shared" ref="L10:T10" si="7">IFERROR(B10/B4,"")</f>
        <v>-0.17471830033392438</v>
      </c>
      <c r="M10" s="10">
        <f t="shared" si="7"/>
        <v>-9.2930958449895476E-2</v>
      </c>
      <c r="N10" s="10">
        <f t="shared" si="7"/>
        <v>-9.293096446522503E-2</v>
      </c>
      <c r="O10" s="10">
        <f t="shared" si="7"/>
        <v>-6.8237598773941491E-2</v>
      </c>
      <c r="P10" s="10">
        <f t="shared" si="7"/>
        <v>-6.8237589456798517E-2</v>
      </c>
      <c r="Q10" s="10">
        <f t="shared" si="7"/>
        <v>-2.478450552876996E-2</v>
      </c>
      <c r="R10" s="10">
        <f t="shared" si="7"/>
        <v>-5.4456258569497769E-2</v>
      </c>
      <c r="S10" s="10">
        <f t="shared" si="7"/>
        <v>-4.9681008917379643E-2</v>
      </c>
      <c r="T10" s="10">
        <f t="shared" si="7"/>
        <v>-3.5162376343568384E-2</v>
      </c>
    </row>
    <row r="11" spans="1:20" ht="15" customHeight="1" x14ac:dyDescent="0.2">
      <c r="A11" s="8" t="s">
        <v>851</v>
      </c>
      <c r="B11" s="9">
        <v>-1023563</v>
      </c>
      <c r="C11" s="9">
        <v>1047896</v>
      </c>
      <c r="D11" s="9">
        <v>800581</v>
      </c>
      <c r="E11" s="9">
        <v>196693</v>
      </c>
      <c r="F11" s="9">
        <v>136234</v>
      </c>
      <c r="G11" s="9">
        <v>153530</v>
      </c>
      <c r="H11" s="9">
        <v>93177</v>
      </c>
      <c r="I11" s="9">
        <v>29491</v>
      </c>
      <c r="J11" s="9">
        <v>50679</v>
      </c>
      <c r="L11" s="10">
        <f t="shared" ref="L11:T11" si="8">IFERROR(B11/B4,"")</f>
        <v>-2.8277239458197788E-2</v>
      </c>
      <c r="M11" s="10">
        <f t="shared" si="8"/>
        <v>2.6994117197162729E-2</v>
      </c>
      <c r="N11" s="10">
        <f t="shared" si="8"/>
        <v>2.6994129935548384E-2</v>
      </c>
      <c r="O11" s="10">
        <f t="shared" si="8"/>
        <v>4.9935628475451122E-3</v>
      </c>
      <c r="P11" s="10">
        <f t="shared" si="8"/>
        <v>4.9935700921534595E-3</v>
      </c>
      <c r="Q11" s="10">
        <f t="shared" si="8"/>
        <v>3.9563367614885289E-3</v>
      </c>
      <c r="R11" s="10">
        <f t="shared" si="8"/>
        <v>3.098937926055324E-3</v>
      </c>
      <c r="S11" s="10">
        <f t="shared" si="8"/>
        <v>2.5347216731036733E-3</v>
      </c>
      <c r="T11" s="10">
        <f t="shared" si="8"/>
        <v>5.9072540482914722E-3</v>
      </c>
    </row>
    <row r="12" spans="1:20" ht="15" customHeight="1" x14ac:dyDescent="0.2">
      <c r="A12" s="6" t="s">
        <v>82</v>
      </c>
      <c r="B12" s="11">
        <f t="shared" ref="B12:J12" si="9">B6+B7+B8+B9+B10+B11</f>
        <v>6375737</v>
      </c>
      <c r="C12" s="11">
        <f t="shared" si="9"/>
        <v>9896788</v>
      </c>
      <c r="D12" s="11">
        <f t="shared" si="9"/>
        <v>7561033</v>
      </c>
      <c r="E12" s="11">
        <f t="shared" si="9"/>
        <v>10912483</v>
      </c>
      <c r="F12" s="11">
        <f t="shared" si="9"/>
        <v>7558221</v>
      </c>
      <c r="G12" s="11">
        <f t="shared" si="9"/>
        <v>5125032</v>
      </c>
      <c r="H12" s="11">
        <f t="shared" si="9"/>
        <v>5488675</v>
      </c>
      <c r="I12" s="11">
        <f t="shared" si="9"/>
        <v>2755911</v>
      </c>
      <c r="J12" s="11">
        <f t="shared" si="9"/>
        <v>1821857</v>
      </c>
      <c r="L12" s="12">
        <f t="shared" ref="L12:T12" si="10">IFERROR(B12/B4,"")</f>
        <v>0.17613790442942115</v>
      </c>
      <c r="M12" s="12">
        <f t="shared" si="10"/>
        <v>0.25494424556203454</v>
      </c>
      <c r="N12" s="12">
        <f t="shared" si="10"/>
        <v>0.25494423081358314</v>
      </c>
      <c r="O12" s="12">
        <f t="shared" si="10"/>
        <v>0.27704173347942035</v>
      </c>
      <c r="P12" s="12">
        <f t="shared" si="10"/>
        <v>0.27704175415451515</v>
      </c>
      <c r="Q12" s="12">
        <f t="shared" si="10"/>
        <v>0.13206769038888216</v>
      </c>
      <c r="R12" s="12">
        <f t="shared" si="10"/>
        <v>0.1825457261050657</v>
      </c>
      <c r="S12" s="12">
        <f t="shared" si="10"/>
        <v>0.23686776782221072</v>
      </c>
      <c r="T12" s="12">
        <f t="shared" si="10"/>
        <v>0.21235959941313282</v>
      </c>
    </row>
    <row r="13" spans="1:20" ht="15" customHeight="1" x14ac:dyDescent="0.2">
      <c r="A13" s="8" t="s">
        <v>83</v>
      </c>
      <c r="B13" s="9">
        <v>6287754</v>
      </c>
      <c r="C13" s="9">
        <v>6319154</v>
      </c>
      <c r="D13" s="9">
        <v>4827761</v>
      </c>
      <c r="E13" s="9">
        <v>6194368</v>
      </c>
      <c r="F13" s="9">
        <v>4290350</v>
      </c>
      <c r="G13" s="9">
        <v>3668976</v>
      </c>
      <c r="H13" s="9">
        <v>1482003</v>
      </c>
      <c r="I13" s="9">
        <v>690598</v>
      </c>
      <c r="J13" s="9">
        <v>603293</v>
      </c>
      <c r="L13" s="10">
        <f t="shared" ref="L13:T13" si="11">IFERROR(B13/B4,"")</f>
        <v>0.17370726131390152</v>
      </c>
      <c r="M13" s="10">
        <f t="shared" si="11"/>
        <v>0.16278331405303548</v>
      </c>
      <c r="N13" s="10">
        <f t="shared" si="11"/>
        <v>0.16278328830158723</v>
      </c>
      <c r="O13" s="10">
        <f t="shared" si="11"/>
        <v>0.15726012572294043</v>
      </c>
      <c r="P13" s="10">
        <f t="shared" si="11"/>
        <v>0.1572600338011847</v>
      </c>
      <c r="Q13" s="10">
        <f t="shared" si="11"/>
        <v>9.4546372864060035E-2</v>
      </c>
      <c r="R13" s="10">
        <f t="shared" si="11"/>
        <v>4.9289366509200433E-2</v>
      </c>
      <c r="S13" s="10">
        <f t="shared" si="11"/>
        <v>5.9356200807095395E-2</v>
      </c>
      <c r="T13" s="10">
        <f t="shared" si="11"/>
        <v>7.0321139259967788E-2</v>
      </c>
    </row>
    <row r="14" spans="1:20" ht="15" customHeight="1" x14ac:dyDescent="0.2">
      <c r="A14" s="6" t="s">
        <v>84</v>
      </c>
      <c r="B14" s="11">
        <f t="shared" ref="B14:J14" si="12">B12+B13</f>
        <v>12663491</v>
      </c>
      <c r="C14" s="11">
        <f t="shared" si="12"/>
        <v>16215942</v>
      </c>
      <c r="D14" s="11">
        <f t="shared" si="12"/>
        <v>12388794</v>
      </c>
      <c r="E14" s="11">
        <f t="shared" si="12"/>
        <v>17106851</v>
      </c>
      <c r="F14" s="11">
        <f t="shared" si="12"/>
        <v>11848571</v>
      </c>
      <c r="G14" s="11">
        <f t="shared" si="12"/>
        <v>8794008</v>
      </c>
      <c r="H14" s="11">
        <f t="shared" si="12"/>
        <v>6970678</v>
      </c>
      <c r="I14" s="11">
        <f t="shared" si="12"/>
        <v>3446509</v>
      </c>
      <c r="J14" s="11">
        <f t="shared" si="12"/>
        <v>2425150</v>
      </c>
      <c r="L14" s="12">
        <f t="shared" ref="L14:T14" si="13">IFERROR(B14/B4,"")</f>
        <v>0.34984516574332269</v>
      </c>
      <c r="M14" s="12">
        <f t="shared" si="13"/>
        <v>0.41772755961506997</v>
      </c>
      <c r="N14" s="12">
        <f t="shared" si="13"/>
        <v>0.41772751911517036</v>
      </c>
      <c r="O14" s="12">
        <f t="shared" si="13"/>
        <v>0.43430185920236075</v>
      </c>
      <c r="P14" s="12">
        <f t="shared" si="13"/>
        <v>0.43430178795569985</v>
      </c>
      <c r="Q14" s="12">
        <f t="shared" si="13"/>
        <v>0.2266140632529422</v>
      </c>
      <c r="R14" s="12">
        <f t="shared" si="13"/>
        <v>0.23183509261426613</v>
      </c>
      <c r="S14" s="12">
        <f t="shared" si="13"/>
        <v>0.29622396862930611</v>
      </c>
      <c r="T14" s="12">
        <f t="shared" si="13"/>
        <v>0.28268073867310056</v>
      </c>
    </row>
    <row r="15" spans="1:20" ht="15" customHeight="1" x14ac:dyDescent="0.2">
      <c r="A15" s="8" t="s">
        <v>852</v>
      </c>
      <c r="B15" s="9">
        <v>1427517</v>
      </c>
      <c r="C15" s="9">
        <v>1099560</v>
      </c>
      <c r="D15" s="9">
        <v>840052</v>
      </c>
      <c r="E15" s="9">
        <v>12716229</v>
      </c>
      <c r="F15" s="9">
        <v>8807534</v>
      </c>
      <c r="G15" s="9">
        <v>14765779</v>
      </c>
      <c r="H15" s="9">
        <v>0</v>
      </c>
      <c r="I15" s="9">
        <v>0</v>
      </c>
      <c r="J15" s="9">
        <v>0</v>
      </c>
      <c r="L15" s="10">
        <f t="shared" ref="L15:T15" si="14">IFERROR(B15/B4,"")</f>
        <v>3.943698633073698E-2</v>
      </c>
      <c r="M15" s="10">
        <f t="shared" si="14"/>
        <v>2.8324997428477876E-2</v>
      </c>
      <c r="N15" s="10">
        <f t="shared" si="14"/>
        <v>2.8325020004992988E-2</v>
      </c>
      <c r="O15" s="10">
        <f t="shared" si="14"/>
        <v>0.32283451213452297</v>
      </c>
      <c r="P15" s="10">
        <f t="shared" si="14"/>
        <v>0.3228345227184457</v>
      </c>
      <c r="Q15" s="10">
        <f t="shared" si="14"/>
        <v>0.38050149332192618</v>
      </c>
      <c r="R15" s="10">
        <f t="shared" si="14"/>
        <v>0</v>
      </c>
      <c r="S15" s="10">
        <f t="shared" si="14"/>
        <v>0</v>
      </c>
      <c r="T15" s="10">
        <f t="shared" si="14"/>
        <v>0</v>
      </c>
    </row>
    <row r="16" spans="1:20" ht="15" customHeight="1" x14ac:dyDescent="0.2">
      <c r="A16" s="8" t="s">
        <v>853</v>
      </c>
      <c r="B16" s="9">
        <v>-18331965</v>
      </c>
      <c r="C16" s="9">
        <v>-22738866</v>
      </c>
      <c r="D16" s="9">
        <v>-17372235</v>
      </c>
      <c r="E16" s="9">
        <v>-16870679</v>
      </c>
      <c r="F16" s="9">
        <v>-11684995</v>
      </c>
      <c r="G16" s="9">
        <v>-9722647</v>
      </c>
      <c r="H16" s="9">
        <v>-5368290</v>
      </c>
      <c r="I16" s="9">
        <v>-2950983</v>
      </c>
      <c r="J16" s="9">
        <v>-1677164</v>
      </c>
      <c r="L16" s="10">
        <f t="shared" ref="L16:T16" si="15">IFERROR(B16/B4,"")</f>
        <v>-0.50644402351814288</v>
      </c>
      <c r="M16" s="10">
        <f t="shared" si="15"/>
        <v>-0.5857600503624204</v>
      </c>
      <c r="N16" s="10">
        <f t="shared" si="15"/>
        <v>-0.58576005283772836</v>
      </c>
      <c r="O16" s="10">
        <f t="shared" si="15"/>
        <v>-0.42830601936652307</v>
      </c>
      <c r="P16" s="10">
        <f t="shared" si="15"/>
        <v>-0.42830601435003535</v>
      </c>
      <c r="Q16" s="10">
        <f t="shared" si="15"/>
        <v>-0.25054429587100996</v>
      </c>
      <c r="R16" s="10">
        <f t="shared" si="15"/>
        <v>-0.17854188779488003</v>
      </c>
      <c r="S16" s="10">
        <f t="shared" si="15"/>
        <v>-0.25363400925911284</v>
      </c>
      <c r="T16" s="10">
        <f t="shared" si="15"/>
        <v>-0.19549386982080783</v>
      </c>
    </row>
    <row r="17" spans="1:20" ht="15" customHeight="1" x14ac:dyDescent="0.2">
      <c r="A17" s="6" t="s">
        <v>87</v>
      </c>
      <c r="B17" s="11">
        <f t="shared" ref="B17:J17" si="16">B12+B15+B16</f>
        <v>-10528711</v>
      </c>
      <c r="C17" s="11">
        <f t="shared" si="16"/>
        <v>-11742518</v>
      </c>
      <c r="D17" s="11">
        <f t="shared" si="16"/>
        <v>-8971150</v>
      </c>
      <c r="E17" s="11">
        <f t="shared" si="16"/>
        <v>6758033</v>
      </c>
      <c r="F17" s="11">
        <f t="shared" si="16"/>
        <v>4680760</v>
      </c>
      <c r="G17" s="11">
        <f t="shared" si="16"/>
        <v>10168164</v>
      </c>
      <c r="H17" s="11">
        <f t="shared" si="16"/>
        <v>120385</v>
      </c>
      <c r="I17" s="11">
        <f t="shared" si="16"/>
        <v>-195072</v>
      </c>
      <c r="J17" s="11">
        <f t="shared" si="16"/>
        <v>144693</v>
      </c>
      <c r="L17" s="12">
        <f t="shared" ref="L17:T17" si="17">IFERROR(B17/B4,"")</f>
        <v>-0.29086913275798471</v>
      </c>
      <c r="M17" s="12">
        <f t="shared" si="17"/>
        <v>-0.30249080737190798</v>
      </c>
      <c r="N17" s="12">
        <f t="shared" si="17"/>
        <v>-0.30249080201915218</v>
      </c>
      <c r="O17" s="12">
        <f t="shared" si="17"/>
        <v>0.17157022624742027</v>
      </c>
      <c r="P17" s="12">
        <f t="shared" si="17"/>
        <v>0.17157026252292548</v>
      </c>
      <c r="Q17" s="12">
        <f t="shared" si="17"/>
        <v>0.26202488783979838</v>
      </c>
      <c r="R17" s="12">
        <f t="shared" si="17"/>
        <v>4.0038383101856706E-3</v>
      </c>
      <c r="S17" s="12">
        <f t="shared" si="17"/>
        <v>-1.6766241436902096E-2</v>
      </c>
      <c r="T17" s="12">
        <f t="shared" si="17"/>
        <v>1.6865729592324987E-2</v>
      </c>
    </row>
    <row r="18" spans="1:20" ht="15" customHeight="1" x14ac:dyDescent="0.2">
      <c r="A18" s="8" t="s">
        <v>854</v>
      </c>
      <c r="B18" s="9">
        <v>-1000528</v>
      </c>
      <c r="C18" s="9">
        <v>-515001</v>
      </c>
      <c r="D18" s="9">
        <v>-393455</v>
      </c>
      <c r="E18" s="9">
        <v>-700134</v>
      </c>
      <c r="F18" s="9">
        <v>-484928</v>
      </c>
      <c r="G18" s="9">
        <v>-447344</v>
      </c>
      <c r="H18" s="9">
        <v>-284699</v>
      </c>
      <c r="I18" s="9">
        <v>-93751</v>
      </c>
      <c r="J18" s="9">
        <v>-117810</v>
      </c>
      <c r="L18" s="10">
        <f t="shared" ref="L18:T18" si="18">IFERROR(B18/B4,"")</f>
        <v>-2.7640868066383523E-2</v>
      </c>
      <c r="M18" s="10">
        <f t="shared" si="18"/>
        <v>-1.326658117852917E-2</v>
      </c>
      <c r="N18" s="10">
        <f t="shared" si="18"/>
        <v>-1.3266584385329142E-2</v>
      </c>
      <c r="O18" s="10">
        <f t="shared" si="18"/>
        <v>-1.7774720659622607E-2</v>
      </c>
      <c r="P18" s="10">
        <f t="shared" si="18"/>
        <v>-1.7774725528486229E-2</v>
      </c>
      <c r="Q18" s="10">
        <f t="shared" si="18"/>
        <v>-1.1527672195866114E-2</v>
      </c>
      <c r="R18" s="10">
        <f t="shared" si="18"/>
        <v>-9.468694298056652E-3</v>
      </c>
      <c r="S18" s="10">
        <f t="shared" si="18"/>
        <v>-8.0578037901441954E-3</v>
      </c>
      <c r="T18" s="10">
        <f t="shared" si="18"/>
        <v>-1.3732188863813777E-2</v>
      </c>
    </row>
    <row r="19" spans="1:20" ht="15" customHeight="1" x14ac:dyDescent="0.2">
      <c r="A19" s="8" t="s">
        <v>855</v>
      </c>
      <c r="B19" s="9">
        <v>-3178749</v>
      </c>
      <c r="C19" s="9">
        <v>6420805</v>
      </c>
      <c r="D19" s="9">
        <v>4905422</v>
      </c>
      <c r="E19" s="9">
        <v>9509599</v>
      </c>
      <c r="F19" s="9">
        <v>6586553</v>
      </c>
      <c r="G19" s="9">
        <v>-2421809</v>
      </c>
      <c r="H19" s="9">
        <v>204313</v>
      </c>
      <c r="I19" s="9">
        <v>129389</v>
      </c>
      <c r="J19" s="9">
        <v>11324</v>
      </c>
      <c r="L19" s="10">
        <f t="shared" ref="L19:T19" si="19">IFERROR(B19/B4,"")</f>
        <v>-8.7817014341576211E-2</v>
      </c>
      <c r="M19" s="10">
        <f t="shared" si="19"/>
        <v>0.16540187448957572</v>
      </c>
      <c r="N19" s="10">
        <f t="shared" si="19"/>
        <v>0.16540187545882007</v>
      </c>
      <c r="O19" s="10">
        <f t="shared" si="19"/>
        <v>0.24142587820335318</v>
      </c>
      <c r="P19" s="10">
        <f t="shared" si="19"/>
        <v>0.24142588539706422</v>
      </c>
      <c r="Q19" s="10">
        <f t="shared" si="19"/>
        <v>-6.2407946173410882E-2</v>
      </c>
      <c r="R19" s="10">
        <f t="shared" si="19"/>
        <v>6.7951673104536684E-3</v>
      </c>
      <c r="S19" s="10">
        <f t="shared" si="19"/>
        <v>1.1120853906656646E-2</v>
      </c>
      <c r="T19" s="10">
        <f t="shared" si="19"/>
        <v>1.3199499761805211E-3</v>
      </c>
    </row>
    <row r="20" spans="1:20" ht="15" customHeight="1" x14ac:dyDescent="0.2">
      <c r="A20" s="8" t="s">
        <v>856</v>
      </c>
      <c r="B20" s="9">
        <v>0</v>
      </c>
      <c r="C20" s="9">
        <v>2741694</v>
      </c>
      <c r="D20" s="9">
        <v>2094623</v>
      </c>
      <c r="E20" s="9">
        <v>293943</v>
      </c>
      <c r="F20" s="9">
        <v>203591</v>
      </c>
      <c r="G20" s="9">
        <v>2209725</v>
      </c>
      <c r="H20" s="9">
        <v>0</v>
      </c>
      <c r="I20" s="9">
        <v>0</v>
      </c>
      <c r="J20" s="9">
        <v>0</v>
      </c>
      <c r="L20" s="10">
        <f t="shared" ref="L20:T20" si="20">IFERROR(B20/B4,"")</f>
        <v>0</v>
      </c>
      <c r="M20" s="10">
        <f t="shared" si="20"/>
        <v>7.0626864836546635E-2</v>
      </c>
      <c r="N20" s="10">
        <f t="shared" si="20"/>
        <v>7.0626864024987052E-2</v>
      </c>
      <c r="O20" s="10">
        <f t="shared" si="20"/>
        <v>7.4625067699203981E-3</v>
      </c>
      <c r="P20" s="10">
        <f t="shared" si="20"/>
        <v>7.4624978245637292E-3</v>
      </c>
      <c r="Q20" s="10">
        <f t="shared" si="20"/>
        <v>5.6942722922427143E-2</v>
      </c>
      <c r="R20" s="10">
        <f t="shared" si="20"/>
        <v>0</v>
      </c>
      <c r="S20" s="10">
        <f t="shared" si="20"/>
        <v>0</v>
      </c>
      <c r="T20" s="10">
        <f t="shared" si="20"/>
        <v>0</v>
      </c>
    </row>
    <row r="21" spans="1:20" ht="15" customHeight="1" x14ac:dyDescent="0.2">
      <c r="A21" s="6" t="s">
        <v>91</v>
      </c>
      <c r="B21" s="11">
        <f t="shared" ref="B21:J21" si="21">B17+B18+B19+B20</f>
        <v>-14707988</v>
      </c>
      <c r="C21" s="11">
        <f t="shared" si="21"/>
        <v>-3095020</v>
      </c>
      <c r="D21" s="11">
        <f t="shared" si="21"/>
        <v>-2364560</v>
      </c>
      <c r="E21" s="11">
        <f t="shared" si="21"/>
        <v>15861441</v>
      </c>
      <c r="F21" s="11">
        <f t="shared" si="21"/>
        <v>10985976</v>
      </c>
      <c r="G21" s="11">
        <f t="shared" si="21"/>
        <v>9508736</v>
      </c>
      <c r="H21" s="11">
        <f t="shared" si="21"/>
        <v>39999</v>
      </c>
      <c r="I21" s="11">
        <f t="shared" si="21"/>
        <v>-159434</v>
      </c>
      <c r="J21" s="11">
        <f t="shared" si="21"/>
        <v>38207</v>
      </c>
      <c r="L21" s="12">
        <f t="shared" ref="L21:T21" si="22">IFERROR(B21/B4,"")</f>
        <v>-0.40632701516594444</v>
      </c>
      <c r="M21" s="12">
        <f t="shared" si="22"/>
        <v>-7.9728649224314815E-2</v>
      </c>
      <c r="N21" s="12">
        <f t="shared" si="22"/>
        <v>-7.9728646920674218E-2</v>
      </c>
      <c r="O21" s="12">
        <f t="shared" si="22"/>
        <v>0.40268389056107123</v>
      </c>
      <c r="P21" s="12">
        <f t="shared" si="22"/>
        <v>0.40268392021606719</v>
      </c>
      <c r="Q21" s="12">
        <f t="shared" si="22"/>
        <v>0.24503199239294854</v>
      </c>
      <c r="R21" s="12">
        <f t="shared" si="22"/>
        <v>1.3303113225826856E-3</v>
      </c>
      <c r="S21" s="12">
        <f t="shared" si="22"/>
        <v>-1.3703191320389645E-2</v>
      </c>
      <c r="T21" s="12">
        <f t="shared" si="22"/>
        <v>4.4534907046917321E-3</v>
      </c>
    </row>
    <row r="22" spans="1:20" ht="15" customHeight="1" x14ac:dyDescent="0.2">
      <c r="A22" s="8" t="s">
        <v>92</v>
      </c>
      <c r="B22" s="15">
        <f>IFERROR(B21/ZOREN_BS!B29,0)</f>
        <v>-2.9415976000000001</v>
      </c>
      <c r="C22" s="15">
        <f>IFERROR(C21/ZOREN_BS!C29,0)</f>
        <v>-0.619004</v>
      </c>
      <c r="D22" s="15">
        <f>IFERROR(D21/ZOREN_BS!D29,0)</f>
        <v>-0.472912</v>
      </c>
      <c r="E22" s="15">
        <f>IFERROR(E21/ZOREN_BS!E29,0)</f>
        <v>3.1722882000000001</v>
      </c>
      <c r="F22" s="15">
        <f>IFERROR(F21/ZOREN_BS!F29,0)</f>
        <v>2.1971951999999999</v>
      </c>
      <c r="G22" s="15">
        <f>IFERROR(G21/ZOREN_BS!G29,0)</f>
        <v>3.8034943999999999</v>
      </c>
      <c r="H22" s="15">
        <f>IFERROR(H21/ZOREN_BS!H29,0)</f>
        <v>1.5999599999999999E-2</v>
      </c>
      <c r="I22" s="15">
        <f>IFERROR(I21/ZOREN_BS!I29,0)</f>
        <v>-6.37736E-2</v>
      </c>
      <c r="J22" s="15">
        <f>IFERROR(J21/ZOREN_BS!J29,0)</f>
        <v>1.9103499999999999E-2</v>
      </c>
    </row>
    <row r="25" spans="1:20" ht="18" customHeight="1" x14ac:dyDescent="0.2">
      <c r="L25" s="263" t="s">
        <v>44</v>
      </c>
      <c r="M25" s="263"/>
      <c r="N25" s="263"/>
      <c r="O25" s="263"/>
      <c r="P25" s="263"/>
      <c r="Q25" s="263"/>
      <c r="R25" s="263"/>
      <c r="S25" s="263"/>
      <c r="T25" s="263"/>
    </row>
    <row r="26" spans="1:20" ht="21.75" customHeight="1" x14ac:dyDescent="0.2">
      <c r="K26" s="249" t="s">
        <v>45</v>
      </c>
      <c r="L26" s="7" t="s">
        <v>46</v>
      </c>
      <c r="M26" s="7" t="s">
        <v>47</v>
      </c>
      <c r="N26" s="7" t="s">
        <v>48</v>
      </c>
      <c r="O26" s="7" t="s">
        <v>49</v>
      </c>
      <c r="P26" s="7" t="s">
        <v>50</v>
      </c>
    </row>
    <row r="27" spans="1:20" ht="15" customHeight="1" x14ac:dyDescent="0.2">
      <c r="K27" s="8" t="s">
        <v>857</v>
      </c>
      <c r="L27" s="10">
        <f t="shared" ref="L27:L44" si="23">IFERROR((B4-C4)/ABS(C4),"-")</f>
        <v>-6.7543640076445241E-2</v>
      </c>
      <c r="M27" s="10">
        <f t="shared" ref="M27:M44" si="24">IFERROR((D4-E4)/ABS(E4),"-")</f>
        <v>-0.24706486995926383</v>
      </c>
      <c r="N27" s="10">
        <f t="shared" ref="N27:N44" si="25">IFERROR((F4-G4)/ABS(G4),"-")</f>
        <v>-0.2969691878338715</v>
      </c>
      <c r="O27" s="10">
        <f t="shared" ref="O27:O44" si="26">IFERROR((H4-I4)/ABS(I4),"-")</f>
        <v>1.5842624992178642</v>
      </c>
      <c r="P27" s="10">
        <f t="shared" ref="P27:P44" si="27">IFERROR((I4-J4)/ABS(J4),"-")</f>
        <v>0.35617843010110717</v>
      </c>
    </row>
    <row r="28" spans="1:20" ht="15" customHeight="1" x14ac:dyDescent="0.2">
      <c r="K28" s="8" t="s">
        <v>93</v>
      </c>
      <c r="L28" s="10">
        <f t="shared" si="23"/>
        <v>2.4201970199098626E-2</v>
      </c>
      <c r="M28" s="10">
        <f t="shared" si="24"/>
        <v>0.23587744685121756</v>
      </c>
      <c r="N28" s="10">
        <f t="shared" si="25"/>
        <v>0.29046512375789141</v>
      </c>
      <c r="O28" s="10">
        <f t="shared" si="26"/>
        <v>-1.6782636299778462</v>
      </c>
      <c r="P28" s="10">
        <f t="shared" si="27"/>
        <v>-0.38362452370939581</v>
      </c>
    </row>
    <row r="29" spans="1:20" ht="15" customHeight="1" x14ac:dyDescent="0.2">
      <c r="K29" s="8" t="s">
        <v>94</v>
      </c>
      <c r="L29" s="10">
        <f t="shared" si="23"/>
        <v>-0.37066933434757926</v>
      </c>
      <c r="M29" s="10">
        <f t="shared" si="24"/>
        <v>-0.31700139635621905</v>
      </c>
      <c r="N29" s="10">
        <f t="shared" si="25"/>
        <v>-0.33507221511164081</v>
      </c>
      <c r="O29" s="10">
        <f t="shared" si="26"/>
        <v>1.0912430385290848</v>
      </c>
      <c r="P29" s="10">
        <f t="shared" si="27"/>
        <v>0.22837986896750428</v>
      </c>
    </row>
    <row r="30" spans="1:20" ht="15" customHeight="1" x14ac:dyDescent="0.2">
      <c r="K30" s="8" t="s">
        <v>95</v>
      </c>
      <c r="L30" s="10">
        <f t="shared" si="23"/>
        <v>6.5461388293046513E-2</v>
      </c>
      <c r="M30" s="10">
        <f t="shared" si="24"/>
        <v>0.16329619875659251</v>
      </c>
      <c r="N30" s="10">
        <f t="shared" si="25"/>
        <v>-0.2845494981367433</v>
      </c>
      <c r="O30" s="10">
        <f t="shared" si="26"/>
        <v>-0.90258621641617987</v>
      </c>
      <c r="P30" s="10">
        <f t="shared" si="27"/>
        <v>-0.36197444709315002</v>
      </c>
    </row>
    <row r="31" spans="1:20" ht="15" customHeight="1" x14ac:dyDescent="0.2">
      <c r="K31" s="8" t="s">
        <v>96</v>
      </c>
      <c r="L31" s="10">
        <f t="shared" si="23"/>
        <v>6.4776375333599784E-2</v>
      </c>
      <c r="M31" s="10">
        <f t="shared" si="24"/>
        <v>-1.1361716506166583E-3</v>
      </c>
      <c r="N31" s="10">
        <f t="shared" si="25"/>
        <v>-4.6737264063627021E-2</v>
      </c>
      <c r="O31" s="10">
        <f t="shared" si="26"/>
        <v>-1.2320944191146765</v>
      </c>
      <c r="P31" s="10">
        <f t="shared" si="27"/>
        <v>6.3936684584425058E-2</v>
      </c>
    </row>
    <row r="32" spans="1:20" ht="15" customHeight="1" x14ac:dyDescent="0.2">
      <c r="K32" s="8" t="s">
        <v>858</v>
      </c>
      <c r="L32" s="10">
        <f t="shared" si="23"/>
        <v>0.28610507360714454</v>
      </c>
      <c r="M32" s="10">
        <f t="shared" si="24"/>
        <v>-0.24377365010461807</v>
      </c>
      <c r="N32" s="10">
        <f t="shared" si="25"/>
        <v>3.6390034847306034</v>
      </c>
      <c r="O32" s="10">
        <f t="shared" si="26"/>
        <v>1.1233362292523361</v>
      </c>
      <c r="P32" s="10">
        <f t="shared" si="27"/>
        <v>1.1397131403242478</v>
      </c>
    </row>
    <row r="33" spans="11:16" ht="15" customHeight="1" x14ac:dyDescent="0.2">
      <c r="K33" s="8" t="s">
        <v>859</v>
      </c>
      <c r="L33" s="10">
        <f t="shared" si="23"/>
        <v>-0.75309921536255042</v>
      </c>
      <c r="M33" s="10">
        <f t="shared" si="24"/>
        <v>-2.5402257283937388E-2</v>
      </c>
      <c r="N33" s="10">
        <f t="shared" si="25"/>
        <v>-0.93560964451699435</v>
      </c>
      <c r="O33" s="10">
        <f t="shared" si="26"/>
        <v>-1.8326571850201288</v>
      </c>
      <c r="P33" s="10">
        <f t="shared" si="27"/>
        <v>-0.91614787411075971</v>
      </c>
    </row>
    <row r="34" spans="11:16" ht="15" customHeight="1" x14ac:dyDescent="0.2">
      <c r="K34" s="8" t="s">
        <v>860</v>
      </c>
      <c r="L34" s="10">
        <f t="shared" si="23"/>
        <v>-1.9767791841938513</v>
      </c>
      <c r="M34" s="10">
        <f t="shared" si="24"/>
        <v>3.0702058537924581</v>
      </c>
      <c r="N34" s="10">
        <f t="shared" si="25"/>
        <v>-0.11265550706702274</v>
      </c>
      <c r="O34" s="10">
        <f t="shared" si="26"/>
        <v>2.1595062900545927</v>
      </c>
      <c r="P34" s="10">
        <f t="shared" si="27"/>
        <v>-0.41808244045857257</v>
      </c>
    </row>
    <row r="35" spans="11:16" ht="15" customHeight="1" x14ac:dyDescent="0.2">
      <c r="K35" s="8" t="s">
        <v>99</v>
      </c>
      <c r="L35" s="10">
        <f t="shared" si="23"/>
        <v>-0.35577714709055097</v>
      </c>
      <c r="M35" s="10">
        <f t="shared" si="24"/>
        <v>-0.30712075336108197</v>
      </c>
      <c r="N35" s="10">
        <f t="shared" si="25"/>
        <v>0.47476562097563491</v>
      </c>
      <c r="O35" s="10">
        <f t="shared" si="26"/>
        <v>0.9916009624403691</v>
      </c>
      <c r="P35" s="10">
        <f t="shared" si="27"/>
        <v>0.51269336726208481</v>
      </c>
    </row>
    <row r="36" spans="11:16" ht="15" customHeight="1" x14ac:dyDescent="0.2">
      <c r="K36" s="8" t="s">
        <v>100</v>
      </c>
      <c r="L36" s="10">
        <f t="shared" si="23"/>
        <v>-4.9690195871156173E-3</v>
      </c>
      <c r="M36" s="10">
        <f t="shared" si="24"/>
        <v>-0.22062089304348725</v>
      </c>
      <c r="N36" s="10">
        <f t="shared" si="25"/>
        <v>0.16935897100444375</v>
      </c>
      <c r="O36" s="10">
        <f t="shared" si="26"/>
        <v>1.1459705936014875</v>
      </c>
      <c r="P36" s="10">
        <f t="shared" si="27"/>
        <v>0.14471409414662528</v>
      </c>
    </row>
    <row r="37" spans="11:16" ht="15" customHeight="1" x14ac:dyDescent="0.2">
      <c r="K37" s="8" t="s">
        <v>84</v>
      </c>
      <c r="L37" s="10">
        <f t="shared" si="23"/>
        <v>-0.21907151616600504</v>
      </c>
      <c r="M37" s="10">
        <f t="shared" si="24"/>
        <v>-0.27579926895955309</v>
      </c>
      <c r="N37" s="10">
        <f t="shared" si="25"/>
        <v>0.34734594282834402</v>
      </c>
      <c r="O37" s="10">
        <f t="shared" si="26"/>
        <v>1.0225329456560246</v>
      </c>
      <c r="P37" s="10">
        <f t="shared" si="27"/>
        <v>0.42115291837618291</v>
      </c>
    </row>
    <row r="38" spans="11:16" ht="15" customHeight="1" x14ac:dyDescent="0.2">
      <c r="K38" s="8" t="s">
        <v>861</v>
      </c>
      <c r="L38" s="10">
        <f t="shared" si="23"/>
        <v>0.29826203208556151</v>
      </c>
      <c r="M38" s="10">
        <f t="shared" si="24"/>
        <v>-0.93393859138585822</v>
      </c>
      <c r="N38" s="10">
        <f t="shared" si="25"/>
        <v>-0.40351714596297289</v>
      </c>
      <c r="O38" s="10" t="str">
        <f t="shared" si="26"/>
        <v>-</v>
      </c>
      <c r="P38" s="10" t="str">
        <f t="shared" si="27"/>
        <v>-</v>
      </c>
    </row>
    <row r="39" spans="11:16" ht="15" customHeight="1" x14ac:dyDescent="0.2">
      <c r="K39" s="8" t="s">
        <v>819</v>
      </c>
      <c r="L39" s="10">
        <f t="shared" si="23"/>
        <v>0.19380478340476609</v>
      </c>
      <c r="M39" s="10">
        <f t="shared" si="24"/>
        <v>-2.9729449537863887E-2</v>
      </c>
      <c r="N39" s="10">
        <f t="shared" si="25"/>
        <v>-0.20183269021286077</v>
      </c>
      <c r="O39" s="10">
        <f t="shared" si="26"/>
        <v>-0.81915314320685684</v>
      </c>
      <c r="P39" s="10">
        <f t="shared" si="27"/>
        <v>-0.75950771659778049</v>
      </c>
    </row>
    <row r="40" spans="11:16" ht="15" customHeight="1" x14ac:dyDescent="0.2">
      <c r="K40" s="8" t="s">
        <v>103</v>
      </c>
      <c r="L40" s="10">
        <f t="shared" si="23"/>
        <v>0.10336854497476607</v>
      </c>
      <c r="M40" s="10">
        <f t="shared" si="24"/>
        <v>-2.3274794603696076</v>
      </c>
      <c r="N40" s="10">
        <f t="shared" si="25"/>
        <v>-0.53966517455855356</v>
      </c>
      <c r="O40" s="10">
        <f t="shared" si="26"/>
        <v>1.6171311105643045</v>
      </c>
      <c r="P40" s="10">
        <f t="shared" si="27"/>
        <v>-2.3481785573593745</v>
      </c>
    </row>
    <row r="41" spans="11:16" ht="15" customHeight="1" x14ac:dyDescent="0.2">
      <c r="K41" s="8" t="s">
        <v>104</v>
      </c>
      <c r="L41" s="10">
        <f t="shared" si="23"/>
        <v>-0.94276904316690646</v>
      </c>
      <c r="M41" s="10">
        <f t="shared" si="24"/>
        <v>0.43802900587601801</v>
      </c>
      <c r="N41" s="10">
        <f t="shared" si="25"/>
        <v>-8.4015880396294568E-2</v>
      </c>
      <c r="O41" s="10">
        <f t="shared" si="26"/>
        <v>-2.0367569412592932</v>
      </c>
      <c r="P41" s="10">
        <f t="shared" si="27"/>
        <v>0.20421865715983364</v>
      </c>
    </row>
    <row r="42" spans="11:16" ht="15" customHeight="1" x14ac:dyDescent="0.2">
      <c r="K42" s="8" t="s">
        <v>105</v>
      </c>
      <c r="L42" s="10">
        <f t="shared" si="23"/>
        <v>-1.495070166435517</v>
      </c>
      <c r="M42" s="10">
        <f t="shared" si="24"/>
        <v>-0.48416100405495544</v>
      </c>
      <c r="N42" s="10">
        <f t="shared" si="25"/>
        <v>3.7196830963961238</v>
      </c>
      <c r="O42" s="10">
        <f t="shared" si="26"/>
        <v>0.57906004374405862</v>
      </c>
      <c r="P42" s="10">
        <f t="shared" si="27"/>
        <v>10.426086188625927</v>
      </c>
    </row>
    <row r="43" spans="11:16" ht="15" customHeight="1" x14ac:dyDescent="0.2">
      <c r="K43" s="8" t="s">
        <v>862</v>
      </c>
      <c r="L43" s="10">
        <f t="shared" si="23"/>
        <v>-1</v>
      </c>
      <c r="M43" s="10">
        <f t="shared" si="24"/>
        <v>6.1259495888658684</v>
      </c>
      <c r="N43" s="10">
        <f t="shared" si="25"/>
        <v>-0.90786591091651681</v>
      </c>
      <c r="O43" s="10" t="str">
        <f t="shared" si="26"/>
        <v>-</v>
      </c>
      <c r="P43" s="10" t="str">
        <f t="shared" si="27"/>
        <v>-</v>
      </c>
    </row>
    <row r="44" spans="11:16" ht="15" customHeight="1" x14ac:dyDescent="0.2">
      <c r="K44" s="8" t="s">
        <v>107</v>
      </c>
      <c r="L44" s="10">
        <f t="shared" si="23"/>
        <v>-3.75214635123521</v>
      </c>
      <c r="M44" s="10">
        <f t="shared" si="24"/>
        <v>-1.1490759887452848</v>
      </c>
      <c r="N44" s="10">
        <f t="shared" si="25"/>
        <v>0.15535608518314106</v>
      </c>
      <c r="O44" s="10">
        <f t="shared" si="26"/>
        <v>1.2508812423949722</v>
      </c>
      <c r="P44" s="10">
        <f t="shared" si="27"/>
        <v>-5.1729002538801794</v>
      </c>
    </row>
  </sheetData>
  <mergeCells count="4">
    <mergeCell ref="A1:J1"/>
    <mergeCell ref="L1:T1"/>
    <mergeCell ref="A3:J3"/>
    <mergeCell ref="L25:T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4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5" customWidth="1"/>
    <col min="2" max="10" width="16" customWidth="1"/>
    <col min="11" max="11" width="35" customWidth="1"/>
    <col min="12" max="20" width="16" customWidth="1"/>
  </cols>
  <sheetData>
    <row r="1" spans="1:20" ht="21.75" customHeight="1" x14ac:dyDescent="0.2">
      <c r="A1" s="254" t="s">
        <v>863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109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110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8" t="s">
        <v>111</v>
      </c>
      <c r="B4" s="9">
        <v>-14707988</v>
      </c>
      <c r="C4" s="9">
        <v>-3095020</v>
      </c>
      <c r="D4" s="9">
        <v>-2364560</v>
      </c>
      <c r="E4" s="9">
        <v>15861441</v>
      </c>
      <c r="F4" s="9">
        <v>10985976</v>
      </c>
      <c r="G4" s="9">
        <v>9508736</v>
      </c>
      <c r="H4" s="9">
        <v>39999</v>
      </c>
      <c r="I4" s="9">
        <v>-159434</v>
      </c>
      <c r="J4" s="9">
        <v>38207</v>
      </c>
      <c r="L4" s="10">
        <f t="shared" ref="L4:T4" si="0">IFERROR(B4/B14,"")</f>
        <v>-17.675427074382746</v>
      </c>
      <c r="M4" s="10">
        <f t="shared" si="0"/>
        <v>-0.36099337269438114</v>
      </c>
      <c r="N4" s="10">
        <f t="shared" si="0"/>
        <v>-0.36099342503305654</v>
      </c>
      <c r="O4" s="10">
        <f t="shared" si="0"/>
        <v>0.93357449856860009</v>
      </c>
      <c r="P4" s="10">
        <f t="shared" si="0"/>
        <v>1.0684686018251537</v>
      </c>
      <c r="Q4" s="10">
        <f t="shared" si="0"/>
        <v>2.9764571945149529</v>
      </c>
      <c r="R4" s="10">
        <f t="shared" si="0"/>
        <v>1.5051647255827956E-2</v>
      </c>
      <c r="S4" s="10">
        <f t="shared" si="0"/>
        <v>-7.96687605654776E-2</v>
      </c>
      <c r="T4" s="10">
        <f t="shared" si="0"/>
        <v>1.5359573291138425E-2</v>
      </c>
    </row>
    <row r="5" spans="1:20" ht="15" customHeight="1" x14ac:dyDescent="0.2">
      <c r="A5" s="8" t="s">
        <v>112</v>
      </c>
      <c r="B5" s="9">
        <v>6287754</v>
      </c>
      <c r="C5" s="9">
        <v>6319154</v>
      </c>
      <c r="D5" s="9">
        <v>4827761</v>
      </c>
      <c r="E5" s="9">
        <v>6194368</v>
      </c>
      <c r="F5" s="9">
        <v>4290350</v>
      </c>
      <c r="G5" s="9">
        <v>3668976</v>
      </c>
      <c r="H5" s="9">
        <v>1482003</v>
      </c>
      <c r="I5" s="9">
        <v>690598</v>
      </c>
      <c r="J5" s="9">
        <v>603293</v>
      </c>
      <c r="L5" s="10">
        <f t="shared" ref="L5:T5" si="1">IFERROR(B5/B14,"")</f>
        <v>7.5563521868972439</v>
      </c>
      <c r="M5" s="10">
        <f t="shared" si="1"/>
        <v>0.73704619518942993</v>
      </c>
      <c r="N5" s="10">
        <f t="shared" si="1"/>
        <v>0.73704620674925314</v>
      </c>
      <c r="O5" s="10">
        <f t="shared" si="1"/>
        <v>0.36458881633449208</v>
      </c>
      <c r="P5" s="10">
        <f t="shared" si="1"/>
        <v>0.41726873113873075</v>
      </c>
      <c r="Q5" s="10">
        <f t="shared" si="1"/>
        <v>1.148475466318835</v>
      </c>
      <c r="R5" s="10">
        <f t="shared" si="1"/>
        <v>0.55767860166701166</v>
      </c>
      <c r="S5" s="10">
        <f t="shared" si="1"/>
        <v>0.34509004797595055</v>
      </c>
      <c r="T5" s="10">
        <f t="shared" si="1"/>
        <v>0.24252945924911076</v>
      </c>
    </row>
    <row r="6" spans="1:20" ht="15" customHeight="1" x14ac:dyDescent="0.2">
      <c r="A6" s="8" t="s">
        <v>864</v>
      </c>
      <c r="B6" s="9">
        <v>60024</v>
      </c>
      <c r="C6" s="9">
        <v>95054</v>
      </c>
      <c r="D6" s="9">
        <v>72620</v>
      </c>
      <c r="E6" s="9">
        <v>120561</v>
      </c>
      <c r="F6" s="9">
        <v>83503</v>
      </c>
      <c r="G6" s="9">
        <v>42212</v>
      </c>
      <c r="H6" s="9">
        <v>20957</v>
      </c>
      <c r="I6" s="9">
        <v>21593</v>
      </c>
      <c r="J6" s="9">
        <v>12673</v>
      </c>
      <c r="L6" s="10">
        <f t="shared" ref="L6:T6" si="2">IFERROR(B6/B14,"")</f>
        <v>7.2134260288541849E-2</v>
      </c>
      <c r="M6" s="10">
        <f t="shared" si="2"/>
        <v>1.1086798808437976E-2</v>
      </c>
      <c r="N6" s="10">
        <f t="shared" si="2"/>
        <v>1.1086774083085463E-2</v>
      </c>
      <c r="O6" s="10">
        <f t="shared" si="2"/>
        <v>7.0959930514465233E-3</v>
      </c>
      <c r="P6" s="10">
        <f t="shared" si="2"/>
        <v>8.1212933341749342E-3</v>
      </c>
      <c r="Q6" s="10">
        <f t="shared" si="2"/>
        <v>1.3213345190661009E-2</v>
      </c>
      <c r="R6" s="10">
        <f t="shared" si="2"/>
        <v>7.886131441795707E-3</v>
      </c>
      <c r="S6" s="10">
        <f t="shared" si="2"/>
        <v>1.0789966675178179E-2</v>
      </c>
      <c r="T6" s="10">
        <f t="shared" si="2"/>
        <v>5.0946651744077599E-3</v>
      </c>
    </row>
    <row r="7" spans="1:20" ht="15" customHeight="1" x14ac:dyDescent="0.2">
      <c r="A7" s="8" t="s">
        <v>865</v>
      </c>
      <c r="B7" s="9">
        <v>15160926</v>
      </c>
      <c r="C7" s="9">
        <v>4654215</v>
      </c>
      <c r="D7" s="9">
        <v>3555767</v>
      </c>
      <c r="E7" s="9">
        <v>-3176281</v>
      </c>
      <c r="F7" s="9">
        <v>-2199962</v>
      </c>
      <c r="G7" s="9">
        <v>6732815</v>
      </c>
      <c r="H7" s="9">
        <v>2277545</v>
      </c>
      <c r="I7" s="9">
        <v>1568664</v>
      </c>
      <c r="J7" s="9">
        <v>1057707</v>
      </c>
      <c r="L7" s="10">
        <f t="shared" ref="L7:T7" si="3">IFERROR(B7/B14,"")</f>
        <v>18.219748472266453</v>
      </c>
      <c r="M7" s="10">
        <f t="shared" si="3"/>
        <v>0.54285296059307508</v>
      </c>
      <c r="N7" s="10">
        <f t="shared" si="3"/>
        <v>0.54285300772639145</v>
      </c>
      <c r="O7" s="10">
        <f t="shared" si="3"/>
        <v>-0.18694990839028885</v>
      </c>
      <c r="P7" s="10">
        <f t="shared" si="3"/>
        <v>-0.21396281242635784</v>
      </c>
      <c r="Q7" s="10">
        <f t="shared" si="3"/>
        <v>2.1075288709338649</v>
      </c>
      <c r="R7" s="10">
        <f t="shared" si="3"/>
        <v>0.8570415247699863</v>
      </c>
      <c r="S7" s="10">
        <f t="shared" si="3"/>
        <v>0.78385737435982517</v>
      </c>
      <c r="T7" s="10">
        <f t="shared" si="3"/>
        <v>0.42520816046928972</v>
      </c>
    </row>
    <row r="8" spans="1:20" ht="15" customHeight="1" x14ac:dyDescent="0.2">
      <c r="A8" s="8" t="s">
        <v>866</v>
      </c>
      <c r="B8" s="9">
        <v>4830678</v>
      </c>
      <c r="C8" s="9">
        <v>7371021</v>
      </c>
      <c r="D8" s="9">
        <v>5631376</v>
      </c>
      <c r="E8" s="9">
        <v>14830605</v>
      </c>
      <c r="F8" s="9">
        <v>10271996</v>
      </c>
      <c r="G8" s="9">
        <v>9830362</v>
      </c>
      <c r="H8" s="9">
        <v>3426857</v>
      </c>
      <c r="I8" s="9">
        <v>1769459</v>
      </c>
      <c r="J8" s="9">
        <v>280986</v>
      </c>
      <c r="L8" s="10">
        <f t="shared" ref="L8:T8" si="4">IFERROR(B8/B14,"")</f>
        <v>5.8053009499888839</v>
      </c>
      <c r="M8" s="10">
        <f t="shared" si="4"/>
        <v>0.85973264502042313</v>
      </c>
      <c r="N8" s="10">
        <f t="shared" si="4"/>
        <v>0.85973276630280204</v>
      </c>
      <c r="O8" s="10">
        <f t="shared" si="4"/>
        <v>0.87290143602614501</v>
      </c>
      <c r="P8" s="10">
        <f t="shared" si="4"/>
        <v>0.99902868931022348</v>
      </c>
      <c r="Q8" s="10">
        <f t="shared" si="4"/>
        <v>3.0771336694578966</v>
      </c>
      <c r="R8" s="10">
        <f t="shared" si="4"/>
        <v>1.2895283072118009</v>
      </c>
      <c r="S8" s="10">
        <f t="shared" si="4"/>
        <v>0.88419412046006141</v>
      </c>
      <c r="T8" s="10">
        <f t="shared" si="4"/>
        <v>0.11295901433726338</v>
      </c>
    </row>
    <row r="9" spans="1:20" ht="15" customHeight="1" x14ac:dyDescent="0.2">
      <c r="A9" s="8" t="s">
        <v>867</v>
      </c>
      <c r="B9" s="9">
        <v>-1687951</v>
      </c>
      <c r="C9" s="9">
        <v>-13663701</v>
      </c>
      <c r="D9" s="9">
        <v>-10438912</v>
      </c>
      <c r="E9" s="9">
        <v>-25992964</v>
      </c>
      <c r="F9" s="9">
        <v>-19488948</v>
      </c>
      <c r="G9" s="9">
        <v>-26930476</v>
      </c>
      <c r="H9" s="9">
        <v>0</v>
      </c>
      <c r="I9" s="9">
        <v>0</v>
      </c>
      <c r="J9" s="9">
        <v>0</v>
      </c>
      <c r="L9" s="10">
        <f t="shared" ref="L9:T9" si="5">IFERROR(B9/B14,"")</f>
        <v>-2.0285068770542534</v>
      </c>
      <c r="M9" s="10">
        <f t="shared" si="5"/>
        <v>-1.5936909963352703</v>
      </c>
      <c r="N9" s="10">
        <f t="shared" si="5"/>
        <v>-1.5936912560893672</v>
      </c>
      <c r="O9" s="10">
        <f t="shared" si="5"/>
        <v>-1.529896831732481</v>
      </c>
      <c r="P9" s="10">
        <f t="shared" si="5"/>
        <v>-1.8954464328524954</v>
      </c>
      <c r="Q9" s="10">
        <f t="shared" si="5"/>
        <v>-8.4298700733633023</v>
      </c>
      <c r="R9" s="10">
        <f t="shared" si="5"/>
        <v>0</v>
      </c>
      <c r="S9" s="10">
        <f t="shared" si="5"/>
        <v>0</v>
      </c>
      <c r="T9" s="10">
        <f t="shared" si="5"/>
        <v>0</v>
      </c>
    </row>
    <row r="10" spans="1:20" ht="15" customHeight="1" x14ac:dyDescent="0.2">
      <c r="A10" s="8" t="s">
        <v>868</v>
      </c>
      <c r="B10" s="9">
        <v>-9085795</v>
      </c>
      <c r="C10" s="9">
        <v>-6315208</v>
      </c>
      <c r="D10" s="9">
        <v>-4824747</v>
      </c>
      <c r="E10" s="9">
        <v>-4251452</v>
      </c>
      <c r="F10" s="9">
        <v>-2944647</v>
      </c>
      <c r="G10" s="9">
        <v>0</v>
      </c>
      <c r="H10" s="9">
        <v>0</v>
      </c>
      <c r="I10" s="9">
        <v>0</v>
      </c>
      <c r="J10" s="9">
        <v>-40160</v>
      </c>
      <c r="L10" s="10">
        <f t="shared" ref="L10:T10" si="6">IFERROR(B10/B14,"")</f>
        <v>-10.918917457322605</v>
      </c>
      <c r="M10" s="10">
        <f t="shared" si="6"/>
        <v>-0.73658594619308992</v>
      </c>
      <c r="N10" s="10">
        <f t="shared" si="6"/>
        <v>-0.73658606440435614</v>
      </c>
      <c r="O10" s="10">
        <f t="shared" si="6"/>
        <v>-0.25023244540571515</v>
      </c>
      <c r="P10" s="10">
        <f t="shared" si="6"/>
        <v>-0.2863890165933945</v>
      </c>
      <c r="Q10" s="10">
        <f t="shared" si="6"/>
        <v>0</v>
      </c>
      <c r="R10" s="10">
        <f t="shared" si="6"/>
        <v>0</v>
      </c>
      <c r="S10" s="10">
        <f t="shared" si="6"/>
        <v>0</v>
      </c>
      <c r="T10" s="10">
        <f t="shared" si="6"/>
        <v>-1.6144697656767588E-2</v>
      </c>
    </row>
    <row r="11" spans="1:20" ht="15" customHeight="1" x14ac:dyDescent="0.2">
      <c r="A11" s="8" t="s">
        <v>869</v>
      </c>
      <c r="B11" s="9">
        <v>1392297</v>
      </c>
      <c r="C11" s="9">
        <v>500692</v>
      </c>
      <c r="D11" s="9">
        <v>382523</v>
      </c>
      <c r="E11" s="9">
        <v>176186</v>
      </c>
      <c r="F11" s="9">
        <v>122030</v>
      </c>
      <c r="G11" s="9">
        <v>-442918</v>
      </c>
      <c r="H11" s="9">
        <v>-2463072</v>
      </c>
      <c r="I11" s="9">
        <v>-1074641</v>
      </c>
      <c r="J11" s="9">
        <v>-27426</v>
      </c>
      <c r="L11" s="10">
        <f t="shared" ref="L11:T11" si="7">IFERROR(B11/B14,"")</f>
        <v>1.6732026222337057</v>
      </c>
      <c r="M11" s="10">
        <f t="shared" si="7"/>
        <v>5.8399135954241031E-2</v>
      </c>
      <c r="N11" s="10">
        <f t="shared" si="7"/>
        <v>5.839914737791381E-2</v>
      </c>
      <c r="O11" s="10">
        <f t="shared" si="7"/>
        <v>1.0369975628620841E-2</v>
      </c>
      <c r="P11" s="10">
        <f t="shared" si="7"/>
        <v>1.1868333180476956E-2</v>
      </c>
      <c r="Q11" s="10">
        <f t="shared" si="7"/>
        <v>-0.13864371328430761</v>
      </c>
      <c r="R11" s="10">
        <f t="shared" si="7"/>
        <v>-0.92685544412877008</v>
      </c>
      <c r="S11" s="10">
        <f t="shared" si="7"/>
        <v>-0.53699534931598913</v>
      </c>
      <c r="T11" s="10">
        <f t="shared" si="7"/>
        <v>-1.1025509908727785E-2</v>
      </c>
    </row>
    <row r="12" spans="1:20" ht="15" customHeight="1" x14ac:dyDescent="0.2">
      <c r="A12" s="8" t="s">
        <v>116</v>
      </c>
      <c r="B12" s="9">
        <v>-521639</v>
      </c>
      <c r="C12" s="9">
        <v>13598195</v>
      </c>
      <c r="D12" s="9">
        <v>10388866</v>
      </c>
      <c r="E12" s="9">
        <v>13750679</v>
      </c>
      <c r="F12" s="9">
        <v>9524017</v>
      </c>
      <c r="G12" s="9">
        <v>1113693</v>
      </c>
      <c r="H12" s="9">
        <v>-1938046</v>
      </c>
      <c r="I12" s="9">
        <v>-658078</v>
      </c>
      <c r="J12" s="9">
        <v>291637</v>
      </c>
      <c r="L12" s="10">
        <f t="shared" ref="L12:T12" si="8">IFERROR(B12/B14,"")</f>
        <v>-0.62688330338955556</v>
      </c>
      <c r="M12" s="10">
        <f t="shared" si="8"/>
        <v>1.5860505830675957</v>
      </c>
      <c r="N12" s="10">
        <f t="shared" si="8"/>
        <v>1.5860508168747969</v>
      </c>
      <c r="O12" s="10">
        <f t="shared" si="8"/>
        <v>0.80933902867985197</v>
      </c>
      <c r="P12" s="10">
        <f t="shared" si="8"/>
        <v>0.92628211892589207</v>
      </c>
      <c r="Q12" s="10">
        <f t="shared" si="8"/>
        <v>0.34861200714069057</v>
      </c>
      <c r="R12" s="10">
        <f t="shared" si="8"/>
        <v>-0.729287851135487</v>
      </c>
      <c r="S12" s="10">
        <f t="shared" si="8"/>
        <v>-0.32883988744815013</v>
      </c>
      <c r="T12" s="10">
        <f t="shared" si="8"/>
        <v>0.1172408164971795</v>
      </c>
    </row>
    <row r="13" spans="1:20" ht="15" customHeight="1" x14ac:dyDescent="0.2">
      <c r="A13" s="8" t="s">
        <v>870</v>
      </c>
      <c r="B13" s="9">
        <v>-896191</v>
      </c>
      <c r="C13" s="9">
        <v>-890782</v>
      </c>
      <c r="D13" s="9">
        <v>-680547</v>
      </c>
      <c r="E13" s="9">
        <v>-523132</v>
      </c>
      <c r="F13" s="9">
        <v>-362332</v>
      </c>
      <c r="G13" s="9">
        <v>-328751</v>
      </c>
      <c r="H13" s="9">
        <v>-188793</v>
      </c>
      <c r="I13" s="9">
        <v>-156950</v>
      </c>
      <c r="J13" s="9">
        <v>270587</v>
      </c>
      <c r="L13" s="10">
        <f t="shared" ref="L13:T13" si="9">IFERROR(B13/B14,"")</f>
        <v>-1.0770037795256666</v>
      </c>
      <c r="M13" s="10">
        <f t="shared" si="9"/>
        <v>-0.10389800341046139</v>
      </c>
      <c r="N13" s="10">
        <f t="shared" si="9"/>
        <v>-0.103897973587463</v>
      </c>
      <c r="O13" s="10">
        <f t="shared" si="9"/>
        <v>-3.0790562760671551E-2</v>
      </c>
      <c r="P13" s="10">
        <f t="shared" si="9"/>
        <v>-3.5239505842404137E-2</v>
      </c>
      <c r="Q13" s="10">
        <f t="shared" si="9"/>
        <v>-0.10290676690929113</v>
      </c>
      <c r="R13" s="10">
        <f t="shared" si="9"/>
        <v>-7.104291708216523E-2</v>
      </c>
      <c r="S13" s="10">
        <f t="shared" si="9"/>
        <v>-7.8427512141398384E-2</v>
      </c>
      <c r="T13" s="10">
        <f t="shared" si="9"/>
        <v>0.10877851854710585</v>
      </c>
    </row>
    <row r="14" spans="1:20" ht="15" customHeight="1" x14ac:dyDescent="0.2">
      <c r="A14" s="6" t="s">
        <v>118</v>
      </c>
      <c r="B14" s="11">
        <f t="shared" ref="B14:J14" si="10">SUM(B4:B13)</f>
        <v>832115</v>
      </c>
      <c r="C14" s="11">
        <f t="shared" si="10"/>
        <v>8573620</v>
      </c>
      <c r="D14" s="11">
        <f t="shared" si="10"/>
        <v>6550147</v>
      </c>
      <c r="E14" s="11">
        <f t="shared" si="10"/>
        <v>16990011</v>
      </c>
      <c r="F14" s="11">
        <f t="shared" si="10"/>
        <v>10281983</v>
      </c>
      <c r="G14" s="11">
        <f t="shared" si="10"/>
        <v>3194649</v>
      </c>
      <c r="H14" s="11">
        <f t="shared" si="10"/>
        <v>2657450</v>
      </c>
      <c r="I14" s="11">
        <f t="shared" si="10"/>
        <v>2001211</v>
      </c>
      <c r="J14" s="11">
        <f t="shared" si="10"/>
        <v>2487504</v>
      </c>
      <c r="L14" s="12">
        <f t="shared" ref="L14:T14" si="11">IFERROR(B14/B14,"")</f>
        <v>1</v>
      </c>
      <c r="M14" s="12">
        <f t="shared" si="11"/>
        <v>1</v>
      </c>
      <c r="N14" s="12">
        <f t="shared" si="11"/>
        <v>1</v>
      </c>
      <c r="O14" s="12">
        <f t="shared" si="11"/>
        <v>1</v>
      </c>
      <c r="P14" s="12">
        <f t="shared" si="11"/>
        <v>1</v>
      </c>
      <c r="Q14" s="12">
        <f t="shared" si="11"/>
        <v>1</v>
      </c>
      <c r="R14" s="12">
        <f t="shared" si="11"/>
        <v>1</v>
      </c>
      <c r="S14" s="12">
        <f t="shared" si="11"/>
        <v>1</v>
      </c>
      <c r="T14" s="12">
        <f t="shared" si="11"/>
        <v>1</v>
      </c>
    </row>
    <row r="15" spans="1:20" ht="15" customHeight="1" x14ac:dyDescent="0.2">
      <c r="A15" s="253" t="s">
        <v>119</v>
      </c>
      <c r="B15" s="253"/>
      <c r="C15" s="253"/>
      <c r="D15" s="253"/>
      <c r="E15" s="253"/>
      <c r="F15" s="253"/>
      <c r="G15" s="253"/>
      <c r="H15" s="253"/>
      <c r="I15" s="253"/>
      <c r="J15" s="253"/>
    </row>
    <row r="16" spans="1:20" ht="15" customHeight="1" x14ac:dyDescent="0.2">
      <c r="A16" s="8" t="s">
        <v>120</v>
      </c>
      <c r="B16" s="9">
        <v>-1482446</v>
      </c>
      <c r="C16" s="9">
        <v>-1584596</v>
      </c>
      <c r="D16" s="9">
        <v>-1210612</v>
      </c>
      <c r="E16" s="9">
        <v>-1486255</v>
      </c>
      <c r="F16" s="9">
        <v>-1029389</v>
      </c>
      <c r="G16" s="9">
        <v>-1016682</v>
      </c>
      <c r="H16" s="9">
        <v>-522009</v>
      </c>
      <c r="I16" s="9">
        <v>-340157</v>
      </c>
      <c r="J16" s="9">
        <v>-303644</v>
      </c>
      <c r="L16" s="10">
        <f t="shared" ref="L16:T16" si="12">IFERROR(B16/B14,"")</f>
        <v>-1.7815398112039802</v>
      </c>
      <c r="M16" s="10">
        <f t="shared" si="12"/>
        <v>-0.18482228043696827</v>
      </c>
      <c r="N16" s="10">
        <f t="shared" si="12"/>
        <v>-0.18482211162589177</v>
      </c>
      <c r="O16" s="10">
        <f t="shared" si="12"/>
        <v>-8.747816584697915E-2</v>
      </c>
      <c r="P16" s="10">
        <f t="shared" si="12"/>
        <v>-0.10011580450969429</v>
      </c>
      <c r="Q16" s="10">
        <f t="shared" si="12"/>
        <v>-0.31824529079720493</v>
      </c>
      <c r="R16" s="10">
        <f t="shared" si="12"/>
        <v>-0.19643229411654028</v>
      </c>
      <c r="S16" s="10">
        <f t="shared" si="12"/>
        <v>-0.16997557978643932</v>
      </c>
      <c r="T16" s="10">
        <f t="shared" si="12"/>
        <v>-0.12206774340865381</v>
      </c>
    </row>
    <row r="17" spans="1:20" ht="15" customHeight="1" x14ac:dyDescent="0.2">
      <c r="A17" s="8" t="s">
        <v>871</v>
      </c>
      <c r="B17" s="9">
        <v>10964037</v>
      </c>
      <c r="C17" s="9">
        <v>6327064</v>
      </c>
      <c r="D17" s="9">
        <v>4833804</v>
      </c>
      <c r="E17" s="9">
        <v>1372090</v>
      </c>
      <c r="F17" s="9">
        <v>950339</v>
      </c>
      <c r="G17" s="9">
        <v>24367</v>
      </c>
      <c r="H17" s="9">
        <v>-5224</v>
      </c>
      <c r="I17" s="9">
        <v>70575</v>
      </c>
      <c r="J17" s="9">
        <v>-306022</v>
      </c>
      <c r="L17" s="10">
        <f t="shared" ref="L17:T17" si="13">IFERROR(B17/B14,"")</f>
        <v>13.176107869705509</v>
      </c>
      <c r="M17" s="10">
        <f t="shared" si="13"/>
        <v>0.73796879264534698</v>
      </c>
      <c r="N17" s="10">
        <f t="shared" si="13"/>
        <v>0.73796878146398848</v>
      </c>
      <c r="O17" s="10">
        <f t="shared" si="13"/>
        <v>8.0758629291058134E-2</v>
      </c>
      <c r="P17" s="10">
        <f t="shared" si="13"/>
        <v>9.2427598839640177E-2</v>
      </c>
      <c r="Q17" s="10">
        <f t="shared" si="13"/>
        <v>7.627442013191434E-3</v>
      </c>
      <c r="R17" s="10">
        <f t="shared" si="13"/>
        <v>-1.9657942764680428E-3</v>
      </c>
      <c r="S17" s="10">
        <f t="shared" si="13"/>
        <v>3.5266146348386054E-2</v>
      </c>
      <c r="T17" s="10">
        <f t="shared" si="13"/>
        <v>-0.12302372177089967</v>
      </c>
    </row>
    <row r="18" spans="1:20" ht="15" customHeight="1" x14ac:dyDescent="0.2">
      <c r="A18" s="6" t="s">
        <v>122</v>
      </c>
      <c r="B18" s="11">
        <f t="shared" ref="B18:J18" si="14">B16+B17</f>
        <v>9481591</v>
      </c>
      <c r="C18" s="11">
        <f t="shared" si="14"/>
        <v>4742468</v>
      </c>
      <c r="D18" s="11">
        <f t="shared" si="14"/>
        <v>3623192</v>
      </c>
      <c r="E18" s="11">
        <f t="shared" si="14"/>
        <v>-114165</v>
      </c>
      <c r="F18" s="11">
        <f t="shared" si="14"/>
        <v>-79050</v>
      </c>
      <c r="G18" s="11">
        <f t="shared" si="14"/>
        <v>-992315</v>
      </c>
      <c r="H18" s="11">
        <f t="shared" si="14"/>
        <v>-527233</v>
      </c>
      <c r="I18" s="11">
        <f t="shared" si="14"/>
        <v>-269582</v>
      </c>
      <c r="J18" s="11">
        <f t="shared" si="14"/>
        <v>-609666</v>
      </c>
      <c r="L18" s="12">
        <f t="shared" ref="L18:T18" si="15">IFERROR(B18/B14,"")</f>
        <v>11.394568058501529</v>
      </c>
      <c r="M18" s="12">
        <f t="shared" si="15"/>
        <v>0.55314651220837874</v>
      </c>
      <c r="N18" s="12">
        <f t="shared" si="15"/>
        <v>0.55314666983809679</v>
      </c>
      <c r="O18" s="12">
        <f t="shared" si="15"/>
        <v>-6.7195365559210053E-3</v>
      </c>
      <c r="P18" s="12">
        <f t="shared" si="15"/>
        <v>-7.6882056700541129E-3</v>
      </c>
      <c r="Q18" s="12">
        <f t="shared" si="15"/>
        <v>-0.31061784878401349</v>
      </c>
      <c r="R18" s="12">
        <f t="shared" si="15"/>
        <v>-0.19839808839300835</v>
      </c>
      <c r="S18" s="12">
        <f t="shared" si="15"/>
        <v>-0.13470943343805325</v>
      </c>
      <c r="T18" s="12">
        <f t="shared" si="15"/>
        <v>-0.24509146517955349</v>
      </c>
    </row>
    <row r="19" spans="1:20" ht="15" customHeight="1" x14ac:dyDescent="0.2">
      <c r="A19" s="253" t="s">
        <v>123</v>
      </c>
      <c r="B19" s="253"/>
      <c r="C19" s="253"/>
      <c r="D19" s="253"/>
      <c r="E19" s="253"/>
      <c r="F19" s="253"/>
      <c r="G19" s="253"/>
      <c r="H19" s="253"/>
      <c r="I19" s="253"/>
      <c r="J19" s="253"/>
    </row>
    <row r="20" spans="1:20" ht="15" customHeight="1" x14ac:dyDescent="0.2">
      <c r="A20" s="8" t="s">
        <v>872</v>
      </c>
      <c r="B20" s="9">
        <v>2192014</v>
      </c>
      <c r="C20" s="9">
        <v>-3108320</v>
      </c>
      <c r="D20" s="9">
        <v>-2374721</v>
      </c>
      <c r="E20" s="9">
        <v>-12269292</v>
      </c>
      <c r="F20" s="9">
        <v>-8497975</v>
      </c>
      <c r="G20" s="9">
        <v>2788685</v>
      </c>
      <c r="H20" s="9">
        <v>1184116</v>
      </c>
      <c r="I20" s="9">
        <v>435354</v>
      </c>
      <c r="J20" s="9">
        <v>-171194</v>
      </c>
      <c r="L20" s="10">
        <f t="shared" ref="L20:T20" si="16">IFERROR(B20/B14,"")</f>
        <v>2.6342680999621448</v>
      </c>
      <c r="M20" s="10">
        <f t="shared" si="16"/>
        <v>-0.3625446427530028</v>
      </c>
      <c r="N20" s="10">
        <f t="shared" si="16"/>
        <v>-0.3625446879283778</v>
      </c>
      <c r="O20" s="10">
        <f t="shared" si="16"/>
        <v>-0.72214738413059298</v>
      </c>
      <c r="P20" s="10">
        <f t="shared" si="16"/>
        <v>-0.82649183528119041</v>
      </c>
      <c r="Q20" s="10">
        <f t="shared" si="16"/>
        <v>0.87292375469104744</v>
      </c>
      <c r="R20" s="10">
        <f t="shared" si="16"/>
        <v>0.44558354813825285</v>
      </c>
      <c r="S20" s="10">
        <f t="shared" si="16"/>
        <v>0.21754527633517906</v>
      </c>
      <c r="T20" s="10">
        <f t="shared" si="16"/>
        <v>-6.8821597874817494E-2</v>
      </c>
    </row>
    <row r="21" spans="1:20" ht="15" customHeight="1" x14ac:dyDescent="0.2">
      <c r="A21" s="8" t="s">
        <v>125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L21" s="10">
        <f t="shared" ref="L21:T21" si="17">IFERROR(B21/B14,"")</f>
        <v>0</v>
      </c>
      <c r="M21" s="10">
        <f t="shared" si="17"/>
        <v>0</v>
      </c>
      <c r="N21" s="10">
        <f t="shared" si="17"/>
        <v>0</v>
      </c>
      <c r="O21" s="10">
        <f t="shared" si="17"/>
        <v>0</v>
      </c>
      <c r="P21" s="10">
        <f t="shared" si="17"/>
        <v>0</v>
      </c>
      <c r="Q21" s="10">
        <f t="shared" si="17"/>
        <v>0</v>
      </c>
      <c r="R21" s="10">
        <f t="shared" si="17"/>
        <v>0</v>
      </c>
      <c r="S21" s="10">
        <f t="shared" si="17"/>
        <v>0</v>
      </c>
      <c r="T21" s="10">
        <f t="shared" si="17"/>
        <v>0</v>
      </c>
    </row>
    <row r="22" spans="1:20" ht="15" customHeight="1" x14ac:dyDescent="0.2">
      <c r="A22" s="8" t="s">
        <v>873</v>
      </c>
      <c r="B22" s="9">
        <v>-8354674</v>
      </c>
      <c r="C22" s="9">
        <v>-11022490</v>
      </c>
      <c r="D22" s="9">
        <v>-8421057</v>
      </c>
      <c r="E22" s="9">
        <v>-4927387</v>
      </c>
      <c r="F22" s="9">
        <v>-3412814</v>
      </c>
      <c r="G22" s="9">
        <v>-4331878</v>
      </c>
      <c r="H22" s="9">
        <v>-2137836</v>
      </c>
      <c r="I22" s="9">
        <v>-1597918</v>
      </c>
      <c r="J22" s="9">
        <v>-1689570</v>
      </c>
      <c r="L22" s="10">
        <f t="shared" ref="L22:T22" si="18">IFERROR(B22/B14,"")</f>
        <v>-10.040287700618304</v>
      </c>
      <c r="M22" s="10">
        <f t="shared" si="18"/>
        <v>-1.2856284743200654</v>
      </c>
      <c r="N22" s="10">
        <f t="shared" si="18"/>
        <v>-1.2856287042107604</v>
      </c>
      <c r="O22" s="10">
        <f t="shared" si="18"/>
        <v>-0.29001670452126255</v>
      </c>
      <c r="P22" s="10">
        <f t="shared" si="18"/>
        <v>-0.33192177034332776</v>
      </c>
      <c r="Q22" s="10">
        <f t="shared" si="18"/>
        <v>-1.3559793266803333</v>
      </c>
      <c r="R22" s="10">
        <f t="shared" si="18"/>
        <v>-0.80446894579390016</v>
      </c>
      <c r="S22" s="10">
        <f t="shared" si="18"/>
        <v>-0.79847552307078062</v>
      </c>
      <c r="T22" s="10">
        <f t="shared" si="18"/>
        <v>-0.67922302838507997</v>
      </c>
    </row>
    <row r="23" spans="1:20" ht="15" customHeight="1" x14ac:dyDescent="0.2">
      <c r="A23" s="6" t="s">
        <v>127</v>
      </c>
      <c r="B23" s="11">
        <f t="shared" ref="B23:J23" si="19">SUM(B20:B22)</f>
        <v>-6162660</v>
      </c>
      <c r="C23" s="11">
        <f t="shared" si="19"/>
        <v>-14130810</v>
      </c>
      <c r="D23" s="11">
        <f t="shared" si="19"/>
        <v>-10795778</v>
      </c>
      <c r="E23" s="11">
        <f t="shared" si="19"/>
        <v>-17196679</v>
      </c>
      <c r="F23" s="11">
        <f t="shared" si="19"/>
        <v>-11910789</v>
      </c>
      <c r="G23" s="11">
        <f t="shared" si="19"/>
        <v>-1543193</v>
      </c>
      <c r="H23" s="11">
        <f t="shared" si="19"/>
        <v>-953720</v>
      </c>
      <c r="I23" s="11">
        <f t="shared" si="19"/>
        <v>-1162564</v>
      </c>
      <c r="J23" s="11">
        <f t="shared" si="19"/>
        <v>-1860764</v>
      </c>
      <c r="L23" s="12">
        <f t="shared" ref="L23:T23" si="20">IFERROR(B23/B14,"")</f>
        <v>-7.4060196006561592</v>
      </c>
      <c r="M23" s="12">
        <f t="shared" si="20"/>
        <v>-1.6481731170730682</v>
      </c>
      <c r="N23" s="12">
        <f t="shared" si="20"/>
        <v>-1.6481733921391382</v>
      </c>
      <c r="O23" s="12">
        <f t="shared" si="20"/>
        <v>-1.0121640886518555</v>
      </c>
      <c r="P23" s="12">
        <f t="shared" si="20"/>
        <v>-1.1584136056245182</v>
      </c>
      <c r="Q23" s="12">
        <f t="shared" si="20"/>
        <v>-0.48305557198928584</v>
      </c>
      <c r="R23" s="12">
        <f t="shared" si="20"/>
        <v>-0.35888539765564731</v>
      </c>
      <c r="S23" s="12">
        <f t="shared" si="20"/>
        <v>-0.58093024673560156</v>
      </c>
      <c r="T23" s="12">
        <f t="shared" si="20"/>
        <v>-0.74804462625989743</v>
      </c>
    </row>
    <row r="24" spans="1:20" ht="15" customHeight="1" x14ac:dyDescent="0.2">
      <c r="A24" s="8" t="s">
        <v>874</v>
      </c>
      <c r="B24" s="9">
        <v>-564975</v>
      </c>
      <c r="C24" s="9">
        <v>-109275</v>
      </c>
      <c r="D24" s="9">
        <v>-83485</v>
      </c>
      <c r="E24" s="9">
        <v>-211657</v>
      </c>
      <c r="F24" s="9">
        <v>-146598</v>
      </c>
      <c r="G24" s="9">
        <v>-85055</v>
      </c>
      <c r="H24" s="9">
        <v>-44495</v>
      </c>
      <c r="I24" s="9">
        <v>-117330</v>
      </c>
      <c r="J24" s="9">
        <v>-130286</v>
      </c>
      <c r="L24" s="10">
        <f t="shared" ref="L24:T24" si="21">IFERROR(B24/B14,"")</f>
        <v>-0.67896264338462831</v>
      </c>
      <c r="M24" s="10">
        <f t="shared" si="21"/>
        <v>-1.2745491402698043E-2</v>
      </c>
      <c r="N24" s="10">
        <f t="shared" si="21"/>
        <v>-1.2745515482324291E-2</v>
      </c>
      <c r="O24" s="10">
        <f t="shared" si="21"/>
        <v>-1.2457731781339047E-2</v>
      </c>
      <c r="P24" s="10">
        <f t="shared" si="21"/>
        <v>-1.4257755532177013E-2</v>
      </c>
      <c r="Q24" s="10">
        <f t="shared" si="21"/>
        <v>-2.6624208168096089E-2</v>
      </c>
      <c r="R24" s="10">
        <f t="shared" si="21"/>
        <v>-1.6743494703569211E-2</v>
      </c>
      <c r="S24" s="10">
        <f t="shared" si="21"/>
        <v>-5.8629499837848181E-2</v>
      </c>
      <c r="T24" s="10">
        <f t="shared" si="21"/>
        <v>-5.2376197184004526E-2</v>
      </c>
    </row>
    <row r="25" spans="1:20" ht="15" customHeight="1" x14ac:dyDescent="0.2">
      <c r="A25" s="8" t="s">
        <v>875</v>
      </c>
      <c r="B25" s="9">
        <v>-476329</v>
      </c>
      <c r="C25" s="9">
        <v>-823578</v>
      </c>
      <c r="D25" s="9">
        <v>-629197</v>
      </c>
      <c r="E25" s="9">
        <v>-2144940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L25" s="10">
        <f t="shared" ref="L25:T25" si="22">IFERROR(B25/B14,"")</f>
        <v>-0.57243169513829217</v>
      </c>
      <c r="M25" s="10">
        <f t="shared" si="22"/>
        <v>-9.6059540777407915E-2</v>
      </c>
      <c r="N25" s="10">
        <f t="shared" si="22"/>
        <v>-9.6058454871318158E-2</v>
      </c>
      <c r="O25" s="10">
        <f t="shared" si="22"/>
        <v>-0.12624712250039155</v>
      </c>
      <c r="P25" s="10">
        <f t="shared" si="22"/>
        <v>0</v>
      </c>
      <c r="Q25" s="10">
        <f t="shared" si="22"/>
        <v>0</v>
      </c>
      <c r="R25" s="10">
        <f t="shared" si="22"/>
        <v>0</v>
      </c>
      <c r="S25" s="10">
        <f t="shared" si="22"/>
        <v>0</v>
      </c>
      <c r="T25" s="10">
        <f t="shared" si="22"/>
        <v>0</v>
      </c>
    </row>
    <row r="26" spans="1:20" ht="15" customHeight="1" x14ac:dyDescent="0.2">
      <c r="A26" s="6" t="s">
        <v>130</v>
      </c>
      <c r="B26" s="11">
        <f t="shared" ref="B26:J26" si="23">B14+B18+B23+B24+B25</f>
        <v>3109742</v>
      </c>
      <c r="C26" s="11">
        <f t="shared" si="23"/>
        <v>-1747575</v>
      </c>
      <c r="D26" s="11">
        <f t="shared" si="23"/>
        <v>-1335121</v>
      </c>
      <c r="E26" s="11">
        <f t="shared" si="23"/>
        <v>-2677430</v>
      </c>
      <c r="F26" s="11">
        <f t="shared" si="23"/>
        <v>-1854454</v>
      </c>
      <c r="G26" s="11">
        <f t="shared" si="23"/>
        <v>574086</v>
      </c>
      <c r="H26" s="11">
        <f t="shared" si="23"/>
        <v>1132002</v>
      </c>
      <c r="I26" s="11">
        <f t="shared" si="23"/>
        <v>451735</v>
      </c>
      <c r="J26" s="11">
        <f t="shared" si="23"/>
        <v>-113212</v>
      </c>
      <c r="L26" s="12">
        <f t="shared" ref="L26:T26" si="24">IFERROR(B26/B14,"")</f>
        <v>3.7371541193224496</v>
      </c>
      <c r="M26" s="12">
        <f t="shared" si="24"/>
        <v>-0.20383163704479554</v>
      </c>
      <c r="N26" s="12">
        <f t="shared" si="24"/>
        <v>-0.20383069265468393</v>
      </c>
      <c r="O26" s="12">
        <f t="shared" si="24"/>
        <v>-0.15758847948950711</v>
      </c>
      <c r="P26" s="12">
        <f t="shared" si="24"/>
        <v>-0.18035956682674928</v>
      </c>
      <c r="Q26" s="12">
        <f t="shared" si="24"/>
        <v>0.17970237105860457</v>
      </c>
      <c r="R26" s="12">
        <f t="shared" si="24"/>
        <v>0.42597301924777514</v>
      </c>
      <c r="S26" s="12">
        <f t="shared" si="24"/>
        <v>0.22573081998849698</v>
      </c>
      <c r="T26" s="12">
        <f t="shared" si="24"/>
        <v>-4.551228862345548E-2</v>
      </c>
    </row>
    <row r="27" spans="1:20" ht="15" customHeight="1" x14ac:dyDescent="0.2">
      <c r="A27" s="8" t="s">
        <v>131</v>
      </c>
      <c r="B27" s="9">
        <v>1890033</v>
      </c>
      <c r="C27" s="9">
        <v>3637608</v>
      </c>
      <c r="D27" s="9">
        <v>2779085</v>
      </c>
      <c r="E27" s="9">
        <v>5456515</v>
      </c>
      <c r="F27" s="9">
        <v>3779308</v>
      </c>
      <c r="G27" s="9">
        <v>3205222</v>
      </c>
      <c r="H27" s="9">
        <v>1161644</v>
      </c>
      <c r="I27" s="9">
        <v>709909</v>
      </c>
      <c r="J27" s="9">
        <v>823121</v>
      </c>
      <c r="L27" s="10">
        <f t="shared" ref="L27:T27" si="25">IFERROR(B27/B14,"")</f>
        <v>2.2713603288007067</v>
      </c>
      <c r="M27" s="10">
        <f t="shared" si="25"/>
        <v>0.42427912597012696</v>
      </c>
      <c r="N27" s="10">
        <f t="shared" si="25"/>
        <v>0.42427826428933579</v>
      </c>
      <c r="O27" s="10">
        <f t="shared" si="25"/>
        <v>0.32116018053196083</v>
      </c>
      <c r="P27" s="10">
        <f t="shared" si="25"/>
        <v>0.36756606191626656</v>
      </c>
      <c r="Q27" s="10">
        <f t="shared" si="25"/>
        <v>1.0033095967663428</v>
      </c>
      <c r="R27" s="10">
        <f t="shared" si="25"/>
        <v>0.43712732130425785</v>
      </c>
      <c r="S27" s="10">
        <f t="shared" si="25"/>
        <v>0.35473970510855679</v>
      </c>
      <c r="T27" s="10">
        <f t="shared" si="25"/>
        <v>0.33090238246853071</v>
      </c>
    </row>
    <row r="28" spans="1:20" ht="15" customHeight="1" x14ac:dyDescent="0.2">
      <c r="A28" s="6" t="s">
        <v>132</v>
      </c>
      <c r="B28" s="11">
        <f t="shared" ref="B28:J28" si="26">B27+B26</f>
        <v>4999775</v>
      </c>
      <c r="C28" s="11">
        <f t="shared" si="26"/>
        <v>1890033</v>
      </c>
      <c r="D28" s="11">
        <f t="shared" si="26"/>
        <v>1443964</v>
      </c>
      <c r="E28" s="11">
        <f t="shared" si="26"/>
        <v>2779085</v>
      </c>
      <c r="F28" s="11">
        <f t="shared" si="26"/>
        <v>1924854</v>
      </c>
      <c r="G28" s="11">
        <f t="shared" si="26"/>
        <v>3779308</v>
      </c>
      <c r="H28" s="11">
        <f t="shared" si="26"/>
        <v>2293646</v>
      </c>
      <c r="I28" s="11">
        <f t="shared" si="26"/>
        <v>1161644</v>
      </c>
      <c r="J28" s="11">
        <f t="shared" si="26"/>
        <v>709909</v>
      </c>
      <c r="L28" s="12">
        <f t="shared" ref="L28:T28" si="27">IFERROR(B28/B14,"")</f>
        <v>6.0085144481231563</v>
      </c>
      <c r="M28" s="12">
        <f t="shared" si="27"/>
        <v>0.22044748892533142</v>
      </c>
      <c r="N28" s="12">
        <f t="shared" si="27"/>
        <v>0.22044757163465187</v>
      </c>
      <c r="O28" s="12">
        <f t="shared" si="27"/>
        <v>0.16357170104245372</v>
      </c>
      <c r="P28" s="12">
        <f t="shared" si="27"/>
        <v>0.18720649508951726</v>
      </c>
      <c r="Q28" s="12">
        <f t="shared" si="27"/>
        <v>1.1830119678249473</v>
      </c>
      <c r="R28" s="12">
        <f t="shared" si="27"/>
        <v>0.863100340552033</v>
      </c>
      <c r="S28" s="12">
        <f t="shared" si="27"/>
        <v>0.58047052509705377</v>
      </c>
      <c r="T28" s="12">
        <f t="shared" si="27"/>
        <v>0.28539009384507524</v>
      </c>
    </row>
    <row r="31" spans="1:20" ht="18" customHeight="1" x14ac:dyDescent="0.2">
      <c r="L31" s="263" t="s">
        <v>44</v>
      </c>
      <c r="M31" s="263"/>
      <c r="N31" s="263"/>
      <c r="O31" s="263"/>
      <c r="P31" s="263"/>
      <c r="Q31" s="263"/>
      <c r="R31" s="263"/>
      <c r="S31" s="263"/>
      <c r="T31" s="263"/>
    </row>
    <row r="32" spans="1:20" ht="21.75" customHeight="1" x14ac:dyDescent="0.2">
      <c r="K32" s="249" t="s">
        <v>45</v>
      </c>
      <c r="L32" s="7" t="s">
        <v>46</v>
      </c>
      <c r="M32" s="7" t="s">
        <v>47</v>
      </c>
      <c r="N32" s="7" t="s">
        <v>48</v>
      </c>
      <c r="O32" s="7" t="s">
        <v>49</v>
      </c>
      <c r="P32" s="7" t="s">
        <v>50</v>
      </c>
    </row>
    <row r="33" spans="1:16" ht="15" customHeight="1" x14ac:dyDescent="0.2">
      <c r="K33" s="8" t="s">
        <v>823</v>
      </c>
      <c r="L33" s="10">
        <f>IFERROR((B14-C14)/ABS(C14),"-")</f>
        <v>-0.90294473046391144</v>
      </c>
      <c r="M33" s="10">
        <f>IFERROR((D14-E14)/ABS(E14),"-")</f>
        <v>-0.61447070281473037</v>
      </c>
      <c r="N33" s="10">
        <f>IFERROR((F14-G14)/ABS(G14),"-")</f>
        <v>2.2185016256872037</v>
      </c>
      <c r="O33" s="10">
        <f>IFERROR((H14-I14)/ABS(I14),"-")</f>
        <v>0.32792094386848764</v>
      </c>
      <c r="P33" s="10">
        <f>IFERROR((I14-J14)/ABS(J14),"-")</f>
        <v>-0.19549435900404583</v>
      </c>
    </row>
    <row r="34" spans="1:16" ht="15" customHeight="1" x14ac:dyDescent="0.2">
      <c r="K34" s="8" t="s">
        <v>876</v>
      </c>
      <c r="L34" s="10">
        <f>IFERROR((B16-C16)/ABS(C16),"-")</f>
        <v>6.4464380826406223E-2</v>
      </c>
      <c r="M34" s="10">
        <f>IFERROR((D16-E16)/ABS(E16),"-")</f>
        <v>0.185461445041396</v>
      </c>
      <c r="N34" s="10">
        <f>IFERROR((F16-G16)/ABS(G16),"-")</f>
        <v>-1.249850002262261E-2</v>
      </c>
      <c r="O34" s="10">
        <f>IFERROR((H16-I16)/ABS(I16),"-")</f>
        <v>-0.53461195859558963</v>
      </c>
      <c r="P34" s="10">
        <f>IFERROR((I16-J16)/ABS(J16),"-")</f>
        <v>-0.12024937097390365</v>
      </c>
    </row>
    <row r="35" spans="1:16" ht="15" customHeight="1" x14ac:dyDescent="0.2">
      <c r="K35" s="8" t="s">
        <v>824</v>
      </c>
      <c r="L35" s="10">
        <f>IFERROR((B18-C18)/ABS(C18),"-")</f>
        <v>0.9992946710446966</v>
      </c>
      <c r="M35" s="10">
        <f>IFERROR((D18-E18)/ABS(E18),"-")</f>
        <v>32.736451627031052</v>
      </c>
      <c r="N35" s="10">
        <f>IFERROR((F18-G18)/ABS(G18),"-")</f>
        <v>0.92033779596196774</v>
      </c>
      <c r="O35" s="10">
        <f>IFERROR((H18-I18)/ABS(I18),"-")</f>
        <v>-0.95574259409010986</v>
      </c>
      <c r="P35" s="10">
        <f>IFERROR((I18-J18)/ABS(J18),"-")</f>
        <v>0.55782018351031548</v>
      </c>
    </row>
    <row r="36" spans="1:16" ht="15" customHeight="1" x14ac:dyDescent="0.2">
      <c r="K36" s="8" t="s">
        <v>877</v>
      </c>
      <c r="L36" s="10">
        <f>IFERROR((B20-C20)/ABS(C20),"-")</f>
        <v>1.7052086014309982</v>
      </c>
      <c r="M36" s="10">
        <f>IFERROR((D20-E20)/ABS(E20),"-")</f>
        <v>0.80645003802990423</v>
      </c>
      <c r="N36" s="10">
        <f>IFERROR((F20-G20)/ABS(G20),"-")</f>
        <v>-4.0473054504183867</v>
      </c>
      <c r="O36" s="10">
        <f>IFERROR((H20-I20)/ABS(I20),"-")</f>
        <v>1.7198923175163201</v>
      </c>
      <c r="P36" s="10">
        <f>IFERROR((I20-J20)/ABS(J20),"-")</f>
        <v>3.5430447328761523</v>
      </c>
    </row>
    <row r="37" spans="1:16" ht="15" customHeight="1" x14ac:dyDescent="0.2">
      <c r="K37" s="8" t="s">
        <v>825</v>
      </c>
      <c r="L37" s="10">
        <f>IFERROR((B23-C23)/ABS(C23),"-")</f>
        <v>0.5638848728416842</v>
      </c>
      <c r="M37" s="10">
        <f>IFERROR((D23-E23)/ABS(E23),"-")</f>
        <v>0.37221727520761422</v>
      </c>
      <c r="N37" s="10">
        <f>IFERROR((F23-G23)/ABS(G23),"-")</f>
        <v>-6.7182756790628266</v>
      </c>
      <c r="O37" s="10">
        <f>IFERROR((H23-I23)/ABS(I23),"-")</f>
        <v>0.1796408627826081</v>
      </c>
      <c r="P37" s="10">
        <f>IFERROR((I23-J23)/ABS(J23),"-")</f>
        <v>0.3752222205502686</v>
      </c>
    </row>
    <row r="38" spans="1:16" ht="15" customHeight="1" x14ac:dyDescent="0.2">
      <c r="K38" s="8" t="s">
        <v>140</v>
      </c>
      <c r="L38" s="10">
        <f>IFERROR((B26-C26)/ABS(C26),"-")</f>
        <v>2.7794612534512111</v>
      </c>
      <c r="M38" s="10">
        <f>IFERROR((D26-E26)/ABS(E26),"-")</f>
        <v>0.50134233201241485</v>
      </c>
      <c r="N38" s="10">
        <f>IFERROR((F26-G26)/ABS(G26),"-")</f>
        <v>-4.2302721195082267</v>
      </c>
      <c r="O38" s="10">
        <f t="shared" ref="O38:P40" si="28">IFERROR((H26-I26)/ABS(I26),"-")</f>
        <v>1.5058983696193564</v>
      </c>
      <c r="P38" s="10">
        <f t="shared" si="28"/>
        <v>4.9901688866904568</v>
      </c>
    </row>
    <row r="39" spans="1:16" ht="15" customHeight="1" x14ac:dyDescent="0.2">
      <c r="K39" s="8" t="s">
        <v>141</v>
      </c>
      <c r="L39" s="10">
        <f>IFERROR((B27-C27)/ABS(C27),"-")</f>
        <v>-0.48041872571206135</v>
      </c>
      <c r="M39" s="10">
        <f>IFERROR((D27-E27)/ABS(E27),"-")</f>
        <v>-0.4906849884954041</v>
      </c>
      <c r="N39" s="10">
        <f>IFERROR((F27-G27)/ABS(G27),"-")</f>
        <v>0.17910959053694253</v>
      </c>
      <c r="O39" s="10">
        <f t="shared" si="28"/>
        <v>0.63632803641030045</v>
      </c>
      <c r="P39" s="10">
        <f t="shared" si="28"/>
        <v>-0.13753992426386885</v>
      </c>
    </row>
    <row r="40" spans="1:16" ht="15" customHeight="1" x14ac:dyDescent="0.2">
      <c r="K40" s="8" t="s">
        <v>142</v>
      </c>
      <c r="L40" s="10">
        <f>IFERROR((B28-C28)/ABS(C28),"-")</f>
        <v>1.6453374094526392</v>
      </c>
      <c r="M40" s="10">
        <f>IFERROR((D28-E28)/ABS(E28),"-")</f>
        <v>-0.48041747553601277</v>
      </c>
      <c r="N40" s="10">
        <f>IFERROR((F28-G28)/ABS(G28),"-")</f>
        <v>-0.49068612560818015</v>
      </c>
      <c r="O40" s="10">
        <f t="shared" si="28"/>
        <v>0.97448271587508739</v>
      </c>
      <c r="P40" s="10">
        <f t="shared" si="28"/>
        <v>0.63632803641030045</v>
      </c>
    </row>
    <row r="43" spans="1:16" ht="15" customHeight="1" x14ac:dyDescent="0.2">
      <c r="A43" s="1" t="s">
        <v>143</v>
      </c>
    </row>
    <row r="44" spans="1:16" ht="30" customHeight="1" x14ac:dyDescent="0.2">
      <c r="A44" s="264" t="s">
        <v>878</v>
      </c>
      <c r="B44" s="264"/>
      <c r="C44" s="264"/>
      <c r="D44" s="264"/>
      <c r="E44" s="264"/>
      <c r="F44" s="264"/>
      <c r="G44" s="264"/>
      <c r="H44" s="264"/>
      <c r="I44" s="264"/>
      <c r="J44" s="264"/>
    </row>
    <row r="45" spans="1:16" ht="30" customHeight="1" x14ac:dyDescent="0.2">
      <c r="A45" s="264" t="s">
        <v>879</v>
      </c>
      <c r="B45" s="264"/>
      <c r="C45" s="264"/>
      <c r="D45" s="264"/>
      <c r="E45" s="264"/>
      <c r="F45" s="264"/>
      <c r="G45" s="264"/>
      <c r="H45" s="264"/>
      <c r="I45" s="264"/>
      <c r="J45" s="264"/>
    </row>
    <row r="46" spans="1:16" ht="30" customHeight="1" x14ac:dyDescent="0.2">
      <c r="A46" s="264" t="s">
        <v>880</v>
      </c>
      <c r="B46" s="264"/>
      <c r="C46" s="264"/>
      <c r="D46" s="264"/>
      <c r="E46" s="264"/>
      <c r="F46" s="264"/>
      <c r="G46" s="264"/>
      <c r="H46" s="264"/>
      <c r="I46" s="264"/>
      <c r="J46" s="264"/>
    </row>
    <row r="47" spans="1:16" ht="30" customHeight="1" x14ac:dyDescent="0.2">
      <c r="A47" s="264" t="s">
        <v>881</v>
      </c>
      <c r="B47" s="264"/>
      <c r="C47" s="264"/>
      <c r="D47" s="264"/>
      <c r="E47" s="264"/>
      <c r="F47" s="264"/>
      <c r="G47" s="264"/>
      <c r="H47" s="264"/>
      <c r="I47" s="264"/>
      <c r="J47" s="264"/>
    </row>
  </sheetData>
  <mergeCells count="10">
    <mergeCell ref="A1:J1"/>
    <mergeCell ref="L1:T1"/>
    <mergeCell ref="A3:J3"/>
    <mergeCell ref="A15:J15"/>
    <mergeCell ref="A19:J19"/>
    <mergeCell ref="L31:T31"/>
    <mergeCell ref="A44:J44"/>
    <mergeCell ref="A45:J45"/>
    <mergeCell ref="A46:J46"/>
    <mergeCell ref="A47:J47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1"/>
  <sheetViews>
    <sheetView zoomScaleNormal="100" workbookViewId="0">
      <pane xSplit="1" ySplit="2" topLeftCell="B31" activePane="bottomRight" state="frozen"/>
      <selection pane="topRight" activeCell="B1" sqref="B1"/>
      <selection pane="bottomLeft" activeCell="A3" sqref="A3"/>
      <selection pane="bottomRight" activeCell="A45" sqref="A45:I51"/>
    </sheetView>
  </sheetViews>
  <sheetFormatPr baseColWidth="10" defaultColWidth="8.6640625" defaultRowHeight="15" x14ac:dyDescent="0.2"/>
  <cols>
    <col min="1" max="1" width="53" customWidth="1"/>
    <col min="2" max="2" width="42" customWidth="1"/>
    <col min="3" max="3" width="19" customWidth="1"/>
    <col min="4" max="9" width="14" customWidth="1"/>
  </cols>
  <sheetData>
    <row r="1" spans="1:9" ht="21.75" customHeight="1" x14ac:dyDescent="0.2">
      <c r="A1" s="254" t="s">
        <v>882</v>
      </c>
      <c r="B1" s="254"/>
      <c r="C1" s="254"/>
      <c r="D1" s="254"/>
      <c r="E1" s="254"/>
      <c r="F1" s="254"/>
      <c r="G1" s="254"/>
      <c r="H1" s="254"/>
      <c r="I1" s="254"/>
    </row>
    <row r="2" spans="1:9" ht="15" customHeight="1" x14ac:dyDescent="0.2">
      <c r="A2" s="6" t="s">
        <v>149</v>
      </c>
      <c r="B2" s="6" t="s">
        <v>150</v>
      </c>
      <c r="C2" s="6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</row>
    <row r="3" spans="1:9" ht="15" customHeight="1" x14ac:dyDescent="0.2">
      <c r="A3" s="253" t="s">
        <v>158</v>
      </c>
      <c r="B3" s="253"/>
      <c r="C3" s="253"/>
      <c r="D3" s="253"/>
      <c r="E3" s="253"/>
      <c r="F3" s="253"/>
      <c r="G3" s="253"/>
      <c r="H3" s="253"/>
      <c r="I3" s="253"/>
    </row>
    <row r="4" spans="1:9" ht="15" customHeight="1" x14ac:dyDescent="0.2">
      <c r="A4" s="8" t="s">
        <v>159</v>
      </c>
      <c r="B4" s="8" t="s">
        <v>160</v>
      </c>
      <c r="C4" s="8" t="s">
        <v>883</v>
      </c>
      <c r="D4" s="18">
        <f>IFERROR(ZOREN_BS!B9/ZOREN_BS!B22,"-")</f>
        <v>0.96695358480813853</v>
      </c>
      <c r="E4" s="18">
        <f>IFERROR(ZOREN_BS!D9/ZOREN_BS!D22,"-")</f>
        <v>0.6659203189890206</v>
      </c>
      <c r="F4" s="18">
        <f>IFERROR(ZOREN_BS!F9/ZOREN_BS!F22,"-")</f>
        <v>0.62825398489195217</v>
      </c>
      <c r="G4" s="18">
        <f>IFERROR(ZOREN_BS!H9/ZOREN_BS!H22,"-")</f>
        <v>0.59862374721132294</v>
      </c>
      <c r="H4" s="18">
        <f>IFERROR(ZOREN_BS!I9/ZOREN_BS!I22,"-")</f>
        <v>0.68106385753125132</v>
      </c>
      <c r="I4" s="18">
        <f>IFERROR(ZOREN_BS!J9/ZOREN_BS!J22,"-")</f>
        <v>0.49378177220550956</v>
      </c>
    </row>
    <row r="5" spans="1:9" ht="15" customHeight="1" x14ac:dyDescent="0.2">
      <c r="A5" s="8" t="s">
        <v>162</v>
      </c>
      <c r="B5" s="8" t="s">
        <v>832</v>
      </c>
      <c r="C5" s="8" t="s">
        <v>884</v>
      </c>
      <c r="D5" s="18">
        <f>IFERROR((ZOREN_BS!B5+ZOREN_BS!B6+ZOREN_BS!B7)/ZOREN_BS!B22,"-")</f>
        <v>0.64810504619511922</v>
      </c>
      <c r="E5" s="18">
        <f>IFERROR((ZOREN_BS!D5+ZOREN_BS!D6+ZOREN_BS!D7)/ZOREN_BS!D22,"-")</f>
        <v>0.39634080907570957</v>
      </c>
      <c r="F5" s="18">
        <f>IFERROR((ZOREN_BS!F5+ZOREN_BS!F6+ZOREN_BS!F7)/ZOREN_BS!F22,"-")</f>
        <v>0.26363463642817908</v>
      </c>
      <c r="G5" s="18">
        <f>IFERROR((ZOREN_BS!H5+ZOREN_BS!H6+ZOREN_BS!H7)/ZOREN_BS!H22,"-")</f>
        <v>0.44166748070443568</v>
      </c>
      <c r="H5" s="18">
        <f>IFERROR((ZOREN_BS!I5+ZOREN_BS!I6+ZOREN_BS!I7)/ZOREN_BS!I22,"-")</f>
        <v>0.45429189389209013</v>
      </c>
      <c r="I5" s="18">
        <f>IFERROR((ZOREN_BS!J5+ZOREN_BS!J6+ZOREN_BS!J7)/ZOREN_BS!J22,"-")</f>
        <v>0.30031502830770379</v>
      </c>
    </row>
    <row r="6" spans="1:9" ht="15" customHeight="1" x14ac:dyDescent="0.2">
      <c r="A6" s="8" t="s">
        <v>165</v>
      </c>
      <c r="B6" s="8" t="s">
        <v>166</v>
      </c>
      <c r="C6" s="8" t="s">
        <v>167</v>
      </c>
      <c r="D6" s="18">
        <f>IFERROR((ZOREN_BS!B5+ZOREN_BS!B6)/ZOREN_BS!B22,"-")</f>
        <v>0.28096421314644904</v>
      </c>
      <c r="E6" s="18">
        <f>IFERROR((ZOREN_BS!D5+ZOREN_BS!D6)/ZOREN_BS!D22,"-")</f>
        <v>7.6569024712502043E-2</v>
      </c>
      <c r="F6" s="18">
        <f>IFERROR((ZOREN_BS!F5+ZOREN_BS!F6)/ZOREN_BS!F22,"-")</f>
        <v>7.3919405873569044E-2</v>
      </c>
      <c r="G6" s="18">
        <f>IFERROR((ZOREN_BS!H5+ZOREN_BS!H6)/ZOREN_BS!H22,"-")</f>
        <v>0.13083026687917429</v>
      </c>
      <c r="H6" s="18">
        <f>IFERROR((ZOREN_BS!I5+ZOREN_BS!I6)/ZOREN_BS!I22,"-")</f>
        <v>0.15471300530501661</v>
      </c>
      <c r="I6" s="18">
        <f>IFERROR((ZOREN_BS!J5+ZOREN_BS!J6)/ZOREN_BS!J22,"-")</f>
        <v>0.12293353762215288</v>
      </c>
    </row>
    <row r="7" spans="1:9" ht="15" customHeight="1" x14ac:dyDescent="0.2">
      <c r="A7" s="253" t="s">
        <v>168</v>
      </c>
      <c r="B7" s="253"/>
      <c r="C7" s="253"/>
      <c r="D7" s="253"/>
      <c r="E7" s="253"/>
      <c r="F7" s="253"/>
      <c r="G7" s="253"/>
      <c r="H7" s="253"/>
      <c r="I7" s="253"/>
    </row>
    <row r="8" spans="1:9" ht="15" customHeight="1" x14ac:dyDescent="0.2">
      <c r="A8" s="8" t="s">
        <v>169</v>
      </c>
      <c r="B8" s="8" t="s">
        <v>170</v>
      </c>
      <c r="C8" s="8" t="s">
        <v>885</v>
      </c>
      <c r="D8" s="10">
        <f>IFERROR(ZOREN_BS!B27/ZOREN_BS!B16,"-")</f>
        <v>0.55957176987850232</v>
      </c>
      <c r="E8" s="10">
        <f>IFERROR(ZOREN_BS!D27/ZOREN_BS!D16,"-")</f>
        <v>0.50627016226202481</v>
      </c>
      <c r="F8" s="10">
        <f>IFERROR(ZOREN_BS!F27/ZOREN_BS!F16,"-")</f>
        <v>0.60946412538225569</v>
      </c>
      <c r="G8" s="10">
        <f>IFERROR(ZOREN_BS!H27/ZOREN_BS!H16,"-")</f>
        <v>0.73885151180853981</v>
      </c>
      <c r="H8" s="10">
        <f>IFERROR(ZOREN_BS!I27/ZOREN_BS!I16,"-")</f>
        <v>0.82550047820245331</v>
      </c>
      <c r="I8" s="10">
        <f>IFERROR(ZOREN_BS!J27/ZOREN_BS!J16,"-")</f>
        <v>0.89266615610490496</v>
      </c>
    </row>
    <row r="9" spans="1:9" ht="15" customHeight="1" x14ac:dyDescent="0.2">
      <c r="A9" s="8" t="s">
        <v>172</v>
      </c>
      <c r="B9" s="8" t="s">
        <v>173</v>
      </c>
      <c r="C9" s="8" t="s">
        <v>886</v>
      </c>
      <c r="D9" s="18">
        <f>IFERROR(ZOREN_BS!B27/ZOREN_BS!B33,"-")</f>
        <v>1.2705174909522428</v>
      </c>
      <c r="E9" s="18">
        <f>IFERROR(ZOREN_BS!D27/ZOREN_BS!D33,"-")</f>
        <v>1.0253991627921522</v>
      </c>
      <c r="F9" s="18">
        <f>IFERROR(ZOREN_BS!F27/ZOREN_BS!F33,"-")</f>
        <v>1.5605842254025901</v>
      </c>
      <c r="G9" s="18">
        <f>IFERROR(ZOREN_BS!H27/ZOREN_BS!H33,"-")</f>
        <v>2.8292390927679927</v>
      </c>
      <c r="H9" s="18">
        <f>IFERROR(ZOREN_BS!I27/ZOREN_BS!I33,"-")</f>
        <v>4.7306747302161325</v>
      </c>
      <c r="I9" s="18">
        <f>IFERROR(ZOREN_BS!J27/ZOREN_BS!J33,"-")</f>
        <v>8.3167258686586401</v>
      </c>
    </row>
    <row r="10" spans="1:9" ht="15" customHeight="1" x14ac:dyDescent="0.2">
      <c r="A10" s="8" t="s">
        <v>784</v>
      </c>
      <c r="B10" s="8" t="s">
        <v>176</v>
      </c>
      <c r="C10" s="8" t="s">
        <v>886</v>
      </c>
      <c r="D10" s="18">
        <f>IFERROR((ZOREN_BS!B19+ZOREN_BS!B24)/ZOREN_BS!B33,"-")</f>
        <v>0.98483225042200162</v>
      </c>
      <c r="E10" s="18">
        <f>IFERROR((ZOREN_BS!D19+ZOREN_BS!D24)/ZOREN_BS!D33,"-")</f>
        <v>0.77972680638068459</v>
      </c>
      <c r="F10" s="18">
        <f>IFERROR((ZOREN_BS!F19+ZOREN_BS!F24)/ZOREN_BS!F33,"-")</f>
        <v>1.1045484452629777</v>
      </c>
      <c r="G10" s="18">
        <f>IFERROR((ZOREN_BS!H19+ZOREN_BS!H24)/ZOREN_BS!H33,"-")</f>
        <v>1.9545194807230406</v>
      </c>
      <c r="H10" s="18">
        <f>IFERROR((ZOREN_BS!I19+ZOREN_BS!I24)/ZOREN_BS!I33,"-")</f>
        <v>3.8466785174055906</v>
      </c>
      <c r="I10" s="18">
        <f>IFERROR((ZOREN_BS!J19+ZOREN_BS!J24)/ZOREN_BS!J33,"-")</f>
        <v>6.4814188453870329</v>
      </c>
    </row>
    <row r="11" spans="1:9" ht="15" customHeight="1" x14ac:dyDescent="0.2">
      <c r="A11" s="8" t="s">
        <v>178</v>
      </c>
      <c r="B11" s="8" t="s">
        <v>179</v>
      </c>
      <c r="C11" s="8" t="s">
        <v>887</v>
      </c>
      <c r="D11" s="18">
        <f>IFERROR((ZOREN_BS!B19+ZOREN_BS!B24-ZOREN_BS!B5-ZOREN_BS!B6)/ZOREN_PLS!B14,"-")</f>
        <v>3.9522469751824358</v>
      </c>
      <c r="E11" s="18">
        <f>IFERROR((ZOREN_BS!D19+ZOREN_BS!D24-ZOREN_BS!D5-ZOREN_BS!D6)/ZOREN_PLS!D14,"-")</f>
        <v>3.5667038292831408</v>
      </c>
      <c r="F11" s="18">
        <f>IFERROR((ZOREN_BS!F19+ZOREN_BS!F24-ZOREN_BS!F5-ZOREN_BS!F6)/ZOREN_PLS!F14,"-")</f>
        <v>3.3895594667069977</v>
      </c>
      <c r="G11" s="18">
        <f>IFERROR((ZOREN_BS!H19+ZOREN_BS!H24-ZOREN_BS!H5-ZOREN_BS!H6)/ZOREN_PLS!H14,"-")</f>
        <v>4.5121183333959767</v>
      </c>
      <c r="H11" s="18">
        <f>IFERROR((ZOREN_BS!I19+ZOREN_BS!I24-ZOREN_BS!I5-ZOREN_BS!I6)/ZOREN_PLS!I14,"-")</f>
        <v>6.4731323782993169</v>
      </c>
      <c r="I11" s="18">
        <f>IFERROR((ZOREN_BS!J19+ZOREN_BS!J24-ZOREN_BS!J5-ZOREN_BS!J6)/ZOREN_PLS!J14,"-")</f>
        <v>5.7325744799290765</v>
      </c>
    </row>
    <row r="12" spans="1:9" ht="15" customHeight="1" x14ac:dyDescent="0.2">
      <c r="A12" s="8" t="s">
        <v>181</v>
      </c>
      <c r="B12" s="8" t="s">
        <v>833</v>
      </c>
      <c r="C12" s="8" t="s">
        <v>569</v>
      </c>
      <c r="D12" s="18">
        <f>IFERROR(ZOREN_PLS!B12/ABS(ZOREN_PLS!B16),"-")</f>
        <v>0.34779343076424157</v>
      </c>
      <c r="E12" s="18">
        <f>IFERROR(ZOREN_PLS!D12/ABS(ZOREN_PLS!D16),"-")</f>
        <v>0.43523662902326615</v>
      </c>
      <c r="F12" s="18">
        <f>IFERROR(ZOREN_PLS!F12/ABS(ZOREN_PLS!F16),"-")</f>
        <v>0.64683134224704419</v>
      </c>
      <c r="G12" s="18">
        <f>IFERROR(ZOREN_PLS!H12/ABS(ZOREN_PLS!H16),"-")</f>
        <v>1.022425204301556</v>
      </c>
      <c r="H12" s="18">
        <f>IFERROR(ZOREN_PLS!I12/ABS(ZOREN_PLS!I16),"-")</f>
        <v>0.9338959255271887</v>
      </c>
      <c r="I12" s="18">
        <f>IFERROR(ZOREN_PLS!J12/ABS(ZOREN_PLS!J16),"-")</f>
        <v>1.0862724217786692</v>
      </c>
    </row>
    <row r="13" spans="1:9" ht="15" customHeight="1" x14ac:dyDescent="0.2">
      <c r="A13" s="8" t="s">
        <v>184</v>
      </c>
      <c r="B13" s="8" t="s">
        <v>185</v>
      </c>
      <c r="C13" s="8" t="s">
        <v>888</v>
      </c>
      <c r="D13" s="18">
        <f>IFERROR(ZOREN_BS!B16/ZOREN_BS!B33,"-")</f>
        <v>2.2705174909522428</v>
      </c>
      <c r="E13" s="18">
        <f>IFERROR(ZOREN_BS!D16/ZOREN_BS!D33,"-")</f>
        <v>2.0253991627921524</v>
      </c>
      <c r="F13" s="18">
        <f>IFERROR(ZOREN_BS!F16/ZOREN_BS!F33,"-")</f>
        <v>2.5605842254025903</v>
      </c>
      <c r="G13" s="18">
        <f>IFERROR(ZOREN_BS!H16/ZOREN_BS!H33,"-")</f>
        <v>3.8292390927679927</v>
      </c>
      <c r="H13" s="18">
        <f>IFERROR(ZOREN_BS!I16/ZOREN_BS!I33,"-")</f>
        <v>5.7306747302161325</v>
      </c>
      <c r="I13" s="18">
        <f>IFERROR(ZOREN_BS!J16/ZOREN_BS!J33,"-")</f>
        <v>9.3167258686586401</v>
      </c>
    </row>
    <row r="14" spans="1:9" ht="15" customHeight="1" x14ac:dyDescent="0.2">
      <c r="A14" s="253" t="s">
        <v>187</v>
      </c>
      <c r="B14" s="253"/>
      <c r="C14" s="253"/>
      <c r="D14" s="253"/>
      <c r="E14" s="253"/>
      <c r="F14" s="253"/>
      <c r="G14" s="253"/>
      <c r="H14" s="253"/>
      <c r="I14" s="253"/>
    </row>
    <row r="15" spans="1:9" ht="15" customHeight="1" x14ac:dyDescent="0.2">
      <c r="A15" s="8" t="s">
        <v>188</v>
      </c>
      <c r="B15" s="8" t="s">
        <v>189</v>
      </c>
      <c r="C15" s="8" t="s">
        <v>889</v>
      </c>
      <c r="D15" s="10">
        <f>IFERROR(ZOREN_PLS!B6/ZOREN_PLS!B4,"-")</f>
        <v>8.4429396838713575E-2</v>
      </c>
      <c r="E15" s="10">
        <f>IFERROR(ZOREN_PLS!D6/ZOREN_PLS!D4,"-")</f>
        <v>0.12509594506581045</v>
      </c>
      <c r="F15" s="10">
        <f>IFERROR(ZOREN_PLS!F6/ZOREN_PLS!F4,"-")</f>
        <v>0.13790532208112899</v>
      </c>
      <c r="G15" s="10">
        <f>IFERROR(ZOREN_PLS!H6/ZOREN_PLS!H4,"-")</f>
        <v>0.12958287910380539</v>
      </c>
      <c r="H15" s="10">
        <f>IFERROR(ZOREN_PLS!I6/ZOREN_PLS!I4,"-")</f>
        <v>0.16013259522632431</v>
      </c>
      <c r="I15" s="10">
        <f>IFERROR(ZOREN_PLS!J6/ZOREN_PLS!J4,"-")</f>
        <v>0.176792519226638</v>
      </c>
    </row>
    <row r="16" spans="1:9" ht="15" customHeight="1" x14ac:dyDescent="0.2">
      <c r="A16" s="8" t="s">
        <v>191</v>
      </c>
      <c r="B16" s="8" t="s">
        <v>192</v>
      </c>
      <c r="C16" s="8" t="s">
        <v>205</v>
      </c>
      <c r="D16" s="10">
        <f>IFERROR(ZOREN_PLS!B14/ZOREN_PLS!B4,"-")</f>
        <v>0.34984516574332269</v>
      </c>
      <c r="E16" s="10">
        <f>IFERROR(ZOREN_PLS!D14/ZOREN_PLS!D4,"-")</f>
        <v>0.41772751911517036</v>
      </c>
      <c r="F16" s="10">
        <f>IFERROR(ZOREN_PLS!F14/ZOREN_PLS!F4,"-")</f>
        <v>0.43430178795569985</v>
      </c>
      <c r="G16" s="10">
        <f>IFERROR(ZOREN_PLS!H14/ZOREN_PLS!H4,"-")</f>
        <v>0.23183509261426613</v>
      </c>
      <c r="H16" s="10">
        <f>IFERROR(ZOREN_PLS!I14/ZOREN_PLS!I4,"-")</f>
        <v>0.29622396862930611</v>
      </c>
      <c r="I16" s="10">
        <f>IFERROR(ZOREN_PLS!J14/ZOREN_PLS!J4,"-")</f>
        <v>0.28268073867310056</v>
      </c>
    </row>
    <row r="17" spans="1:9" ht="15" customHeight="1" x14ac:dyDescent="0.2">
      <c r="A17" s="8" t="s">
        <v>194</v>
      </c>
      <c r="B17" s="8" t="s">
        <v>195</v>
      </c>
      <c r="C17" s="8" t="s">
        <v>890</v>
      </c>
      <c r="D17" s="10">
        <f>IFERROR(ZOREN_PLS!B12/ZOREN_PLS!B4,"-")</f>
        <v>0.17613790442942115</v>
      </c>
      <c r="E17" s="10">
        <f>IFERROR(ZOREN_PLS!D12/ZOREN_PLS!D4,"-")</f>
        <v>0.25494423081358314</v>
      </c>
      <c r="F17" s="10">
        <f>IFERROR(ZOREN_PLS!F12/ZOREN_PLS!F4,"-")</f>
        <v>0.27704175415451515</v>
      </c>
      <c r="G17" s="10">
        <f>IFERROR(ZOREN_PLS!H12/ZOREN_PLS!H4,"-")</f>
        <v>0.1825457261050657</v>
      </c>
      <c r="H17" s="10">
        <f>IFERROR(ZOREN_PLS!I12/ZOREN_PLS!I4,"-")</f>
        <v>0.23686776782221072</v>
      </c>
      <c r="I17" s="10">
        <f>IFERROR(ZOREN_PLS!J12/ZOREN_PLS!J4,"-")</f>
        <v>0.21235959941313282</v>
      </c>
    </row>
    <row r="18" spans="1:9" ht="15" customHeight="1" x14ac:dyDescent="0.2">
      <c r="A18" s="8" t="s">
        <v>197</v>
      </c>
      <c r="B18" s="8" t="s">
        <v>198</v>
      </c>
      <c r="C18" s="8" t="s">
        <v>208</v>
      </c>
      <c r="D18" s="10">
        <f>IFERROR(ZOREN_PLS!B21/ZOREN_PLS!B4,"-")</f>
        <v>-0.40632701516594444</v>
      </c>
      <c r="E18" s="10">
        <f>IFERROR(ZOREN_PLS!D21/ZOREN_PLS!D4,"-")</f>
        <v>-7.9728646920674218E-2</v>
      </c>
      <c r="F18" s="10">
        <f>IFERROR(ZOREN_PLS!F21/ZOREN_PLS!F4,"-")</f>
        <v>0.40268392021606719</v>
      </c>
      <c r="G18" s="10">
        <f>IFERROR(ZOREN_PLS!H21/ZOREN_PLS!H4,"-")</f>
        <v>1.3303113225826856E-3</v>
      </c>
      <c r="H18" s="10">
        <f>IFERROR(ZOREN_PLS!I21/ZOREN_PLS!I4,"-")</f>
        <v>-1.3703191320389645E-2</v>
      </c>
      <c r="I18" s="10">
        <f>IFERROR(ZOREN_PLS!J21/ZOREN_PLS!J4,"-")</f>
        <v>4.4534907046917321E-3</v>
      </c>
    </row>
    <row r="19" spans="1:9" ht="15" customHeight="1" x14ac:dyDescent="0.2">
      <c r="A19" s="8" t="s">
        <v>200</v>
      </c>
      <c r="B19" s="8" t="s">
        <v>380</v>
      </c>
      <c r="C19" s="8" t="s">
        <v>891</v>
      </c>
      <c r="D19" s="10">
        <f>IFERROR(ZOREN_PLS!B21/ZOREN_BS!B16,"-")</f>
        <v>-0.11255832156640781</v>
      </c>
      <c r="E19" s="10">
        <f>IFERROR(ZOREN_PLS!D21/ZOREN_BS!D16,"-")</f>
        <v>-1.9906263200087385E-2</v>
      </c>
      <c r="F19" s="10">
        <f>IFERROR(ZOREN_PLS!F21/ZOREN_BS!F16,"-")</f>
        <v>0.11152032779130097</v>
      </c>
      <c r="G19" s="10">
        <f>IFERROR(ZOREN_PLS!H21/ZOREN_BS!H16,"-")</f>
        <v>5.9321330696730876E-4</v>
      </c>
      <c r="H19" s="10">
        <f>IFERROR(ZOREN_PLS!I21/ZOREN_BS!I16,"-")</f>
        <v>-4.5004267719079023E-3</v>
      </c>
      <c r="I19" s="10">
        <f>IFERROR(ZOREN_PLS!J21/ZOREN_BS!J16,"-")</f>
        <v>1.7851595292135258E-3</v>
      </c>
    </row>
    <row r="20" spans="1:9" ht="15" customHeight="1" x14ac:dyDescent="0.2">
      <c r="A20" s="8" t="s">
        <v>203</v>
      </c>
      <c r="B20" s="8" t="s">
        <v>382</v>
      </c>
      <c r="C20" s="8" t="s">
        <v>208</v>
      </c>
      <c r="D20" s="10">
        <f>IFERROR(ZOREN_PLS!B21/ZOREN_BS!B33,"-")</f>
        <v>-0.25556563786875597</v>
      </c>
      <c r="E20" s="10">
        <f>IFERROR(ZOREN_PLS!D21/ZOREN_BS!D33,"-")</f>
        <v>-4.031812881977722E-2</v>
      </c>
      <c r="F20" s="10">
        <f>IFERROR(ZOREN_PLS!F21/ZOREN_BS!F33,"-")</f>
        <v>0.28555719215413133</v>
      </c>
      <c r="G20" s="10">
        <f>IFERROR(ZOREN_PLS!H21/ZOREN_BS!H33,"-")</f>
        <v>2.2715555853893982E-3</v>
      </c>
      <c r="H20" s="10">
        <f>IFERROR(ZOREN_PLS!I21/ZOREN_BS!I33,"-")</f>
        <v>-2.579048197696078E-2</v>
      </c>
      <c r="I20" s="10">
        <f>IFERROR(ZOREN_PLS!J21/ZOREN_BS!J33,"-")</f>
        <v>1.6631841965506135E-2</v>
      </c>
    </row>
    <row r="21" spans="1:9" ht="15" customHeight="1" x14ac:dyDescent="0.2">
      <c r="A21" s="8" t="s">
        <v>206</v>
      </c>
      <c r="B21" s="8" t="s">
        <v>207</v>
      </c>
      <c r="C21" s="8" t="s">
        <v>208</v>
      </c>
      <c r="D21" s="18">
        <f>IFERROR((ZOREN_PLS!B21/ZOREN_BS!B33)/(ZOREN_PLS!B21/ZOREN_BS!B16),"-")</f>
        <v>2.2705174909522428</v>
      </c>
      <c r="E21" s="18">
        <f>IFERROR((ZOREN_PLS!D21/ZOREN_BS!D33)/(ZOREN_PLS!D21/ZOREN_BS!D16),"-")</f>
        <v>2.0253991627921524</v>
      </c>
      <c r="F21" s="18">
        <f>IFERROR((ZOREN_PLS!F21/ZOREN_BS!F33)/(ZOREN_PLS!F21/ZOREN_BS!F16),"-")</f>
        <v>2.5605842254025899</v>
      </c>
      <c r="G21" s="18">
        <f>IFERROR((ZOREN_PLS!H21/ZOREN_BS!H33)/(ZOREN_PLS!H21/ZOREN_BS!H16),"-")</f>
        <v>3.8292390927679927</v>
      </c>
      <c r="H21" s="18">
        <f>IFERROR((ZOREN_PLS!I21/ZOREN_BS!I33)/(ZOREN_PLS!I21/ZOREN_BS!I16),"-")</f>
        <v>5.7306747302161334</v>
      </c>
      <c r="I21" s="18">
        <f>IFERROR((ZOREN_PLS!J21/ZOREN_BS!J33)/(ZOREN_PLS!J21/ZOREN_BS!J16),"-")</f>
        <v>9.3167258686586401</v>
      </c>
    </row>
    <row r="22" spans="1:9" ht="15" customHeight="1" x14ac:dyDescent="0.2">
      <c r="A22" s="253" t="s">
        <v>209</v>
      </c>
      <c r="B22" s="253"/>
      <c r="C22" s="253"/>
      <c r="D22" s="253"/>
      <c r="E22" s="253"/>
      <c r="F22" s="253"/>
      <c r="G22" s="253"/>
      <c r="H22" s="253"/>
      <c r="I22" s="253"/>
    </row>
    <row r="23" spans="1:9" ht="15" customHeight="1" x14ac:dyDescent="0.2">
      <c r="A23" s="8" t="s">
        <v>210</v>
      </c>
      <c r="B23" s="8" t="s">
        <v>211</v>
      </c>
      <c r="C23" s="8" t="s">
        <v>892</v>
      </c>
      <c r="D23" s="18">
        <f>IFERROR(ZOREN_PLS!B4/ZOREN_BS!B16,"-")</f>
        <v>0.27701412252995006</v>
      </c>
      <c r="E23" s="18">
        <f>IFERROR(ZOREN_PLS!D4/ZOREN_BS!D16,"-")</f>
        <v>0.24967516656708175</v>
      </c>
      <c r="F23" s="18">
        <f>IFERROR(ZOREN_PLS!F4/ZOREN_BS!F16,"-")</f>
        <v>0.27694258993868631</v>
      </c>
      <c r="G23" s="18">
        <f>IFERROR(ZOREN_PLS!H4/ZOREN_BS!H16,"-")</f>
        <v>0.4459206630036312</v>
      </c>
      <c r="H23" s="18">
        <f>IFERROR(ZOREN_PLS!I4/ZOREN_BS!I16,"-")</f>
        <v>0.32842180092833545</v>
      </c>
      <c r="I23" s="18">
        <f>IFERROR(ZOREN_PLS!J4/ZOREN_BS!J16,"-")</f>
        <v>0.40084501070876116</v>
      </c>
    </row>
    <row r="24" spans="1:9" ht="15" customHeight="1" x14ac:dyDescent="0.2">
      <c r="A24" s="8" t="s">
        <v>213</v>
      </c>
      <c r="B24" s="8" t="s">
        <v>214</v>
      </c>
      <c r="C24" s="8" t="s">
        <v>893</v>
      </c>
      <c r="D24" s="18">
        <f>IFERROR(ZOREN_PLS!B4/ZOREN_BS!B7,"-")</f>
        <v>4.179037191929865</v>
      </c>
      <c r="E24" s="18">
        <f>IFERROR(ZOREN_PLS!D4/ZOREN_BS!D7,"-")</f>
        <v>4.6056151129841512</v>
      </c>
      <c r="F24" s="18">
        <f>IFERROR(ZOREN_PLS!F4/ZOREN_BS!F7,"-")</f>
        <v>4.5566734705841778</v>
      </c>
      <c r="G24" s="18">
        <f>IFERROR(ZOREN_PLS!H4/ZOREN_BS!H7,"-")</f>
        <v>4.269796986032139</v>
      </c>
      <c r="H24" s="18">
        <f>IFERROR(ZOREN_PLS!I4/ZOREN_BS!I7,"-")</f>
        <v>4.0873696262146817</v>
      </c>
      <c r="I24" s="18">
        <f>IFERROR(ZOREN_PLS!J4/ZOREN_BS!J7,"-")</f>
        <v>6.0246918522014168</v>
      </c>
    </row>
    <row r="25" spans="1:9" ht="15" customHeight="1" x14ac:dyDescent="0.2">
      <c r="A25" s="8" t="s">
        <v>216</v>
      </c>
      <c r="B25" s="8" t="s">
        <v>217</v>
      </c>
      <c r="C25" s="8" t="s">
        <v>894</v>
      </c>
      <c r="D25" s="19">
        <f>IFERROR(365/(ZOREN_PLS!B4/ZOREN_BS!B7),"-")</f>
        <v>87.340691943314397</v>
      </c>
      <c r="E25" s="19">
        <f>IFERROR(365/(ZOREN_PLS!D4/ZOREN_BS!D7),"-")</f>
        <v>79.251086129840061</v>
      </c>
      <c r="F25" s="19">
        <f>IFERROR(365/(ZOREN_PLS!F4/ZOREN_BS!F7),"-")</f>
        <v>80.102294438316648</v>
      </c>
      <c r="G25" s="19">
        <f>IFERROR(365/(ZOREN_PLS!H4/ZOREN_BS!H7),"-")</f>
        <v>85.484157957399574</v>
      </c>
      <c r="H25" s="19">
        <f>IFERROR(365/(ZOREN_PLS!I4/ZOREN_BS!I7),"-")</f>
        <v>89.299484357627563</v>
      </c>
      <c r="I25" s="19">
        <f>IFERROR(365/(ZOREN_PLS!J4/ZOREN_BS!J7),"-")</f>
        <v>60.584011424024837</v>
      </c>
    </row>
    <row r="26" spans="1:9" ht="15" customHeight="1" x14ac:dyDescent="0.2">
      <c r="A26" s="8" t="s">
        <v>225</v>
      </c>
      <c r="B26" s="8" t="s">
        <v>226</v>
      </c>
      <c r="C26" s="8" t="s">
        <v>895</v>
      </c>
      <c r="D26" s="18">
        <f>IFERROR(ZOREN_PLS!B4/ZOREN_BS!B20,"-")</f>
        <v>5.3258789247136216</v>
      </c>
      <c r="E26" s="18">
        <f>IFERROR(ZOREN_PLS!D4/ZOREN_BS!D20,"-")</f>
        <v>5.8414901537503985</v>
      </c>
      <c r="F26" s="18">
        <f>IFERROR(ZOREN_PLS!F4/ZOREN_BS!F20,"-")</f>
        <v>7.0308389752692886</v>
      </c>
      <c r="G26" s="18">
        <f>IFERROR(ZOREN_PLS!H4/ZOREN_BS!H20,"-")</f>
        <v>5.0159279085223769</v>
      </c>
      <c r="H26" s="18">
        <f>IFERROR(ZOREN_PLS!I4/ZOREN_BS!I20,"-")</f>
        <v>5.3129063515736235</v>
      </c>
      <c r="I26" s="18">
        <f>IFERROR(ZOREN_PLS!J4/ZOREN_BS!J20,"-")</f>
        <v>4.7278754709764952</v>
      </c>
    </row>
    <row r="27" spans="1:9" ht="15" customHeight="1" x14ac:dyDescent="0.2">
      <c r="A27" s="8" t="s">
        <v>834</v>
      </c>
      <c r="B27" s="8" t="s">
        <v>835</v>
      </c>
      <c r="C27" s="8" t="s">
        <v>896</v>
      </c>
      <c r="D27" s="19">
        <f>IFERROR(365/(ZOREN_PLS!B4/ZOREN_BS!B20),"-")</f>
        <v>68.533289088922814</v>
      </c>
      <c r="E27" s="19">
        <f>IFERROR(365/(ZOREN_PLS!D4/ZOREN_BS!D20),"-")</f>
        <v>62.484056361142692</v>
      </c>
      <c r="F27" s="19">
        <f>IFERROR(365/(ZOREN_PLS!F4/ZOREN_BS!F20),"-")</f>
        <v>51.914145848578492</v>
      </c>
      <c r="G27" s="19">
        <f>IFERROR(365/(ZOREN_PLS!H4/ZOREN_BS!H20),"-")</f>
        <v>72.768190982139529</v>
      </c>
      <c r="H27" s="19">
        <f>IFERROR(365/(ZOREN_PLS!I4/ZOREN_BS!I20),"-")</f>
        <v>68.700627462008825</v>
      </c>
      <c r="I27" s="19">
        <f>IFERROR(365/(ZOREN_PLS!J4/ZOREN_BS!J20),"-")</f>
        <v>77.201694977091464</v>
      </c>
    </row>
    <row r="28" spans="1:9" ht="15" customHeight="1" x14ac:dyDescent="0.2">
      <c r="A28" s="253" t="s">
        <v>228</v>
      </c>
      <c r="B28" s="253"/>
      <c r="C28" s="253"/>
      <c r="D28" s="253"/>
      <c r="E28" s="253"/>
      <c r="F28" s="253"/>
      <c r="G28" s="253"/>
      <c r="H28" s="253"/>
      <c r="I28" s="253"/>
    </row>
    <row r="29" spans="1:9" ht="15" customHeight="1" x14ac:dyDescent="0.2">
      <c r="A29" s="8" t="s">
        <v>229</v>
      </c>
      <c r="B29" s="8" t="s">
        <v>230</v>
      </c>
      <c r="C29" s="8" t="s">
        <v>208</v>
      </c>
      <c r="D29" s="18">
        <f>IFERROR(ZOREN_CFS!B14/ZOREN_PLS!B21,"-")</f>
        <v>-5.6575719262213157E-2</v>
      </c>
      <c r="E29" s="18">
        <f>IFERROR(ZOREN_CFS!D14/ZOREN_PLS!D21,"-")</f>
        <v>-2.7701335555029267</v>
      </c>
      <c r="F29" s="18">
        <f>IFERROR(ZOREN_CFS!F14/ZOREN_PLS!F21,"-")</f>
        <v>0.93591893883620358</v>
      </c>
      <c r="G29" s="18">
        <f>IFERROR(ZOREN_CFS!H14/ZOREN_PLS!H21,"-")</f>
        <v>66.437910947773688</v>
      </c>
      <c r="H29" s="18">
        <f>IFERROR(ZOREN_CFS!I14/ZOREN_PLS!I21,"-")</f>
        <v>-12.551971348645834</v>
      </c>
      <c r="I29" s="18">
        <f>IFERROR(ZOREN_CFS!J14/ZOREN_PLS!J21,"-")</f>
        <v>65.105975344832103</v>
      </c>
    </row>
    <row r="30" spans="1:9" ht="15" customHeight="1" x14ac:dyDescent="0.2">
      <c r="A30" s="8" t="s">
        <v>232</v>
      </c>
      <c r="B30" s="8" t="s">
        <v>837</v>
      </c>
      <c r="C30" s="8" t="s">
        <v>569</v>
      </c>
      <c r="D30" s="18">
        <f>IFERROR(ZOREN_PLS!B14/ABS(ZOREN_PLS!B16),"-")</f>
        <v>0.69078743058913761</v>
      </c>
      <c r="E30" s="18">
        <f>IFERROR(ZOREN_PLS!D14/ABS(ZOREN_PLS!D16),"-")</f>
        <v>0.7131376014657872</v>
      </c>
      <c r="F30" s="18">
        <f>IFERROR(ZOREN_PLS!F14/ABS(ZOREN_PLS!F16),"-")</f>
        <v>1.0139988078728317</v>
      </c>
      <c r="G30" s="18">
        <f>IFERROR(ZOREN_PLS!H14/ABS(ZOREN_PLS!H16),"-")</f>
        <v>1.2984913259157014</v>
      </c>
      <c r="H30" s="18">
        <f>IFERROR(ZOREN_PLS!I14/ABS(ZOREN_PLS!I16),"-")</f>
        <v>1.1679189612410508</v>
      </c>
      <c r="I30" s="18">
        <f>IFERROR(ZOREN_PLS!J14/ABS(ZOREN_PLS!J16),"-")</f>
        <v>1.4459826230470008</v>
      </c>
    </row>
    <row r="31" spans="1:9" ht="15" customHeight="1" x14ac:dyDescent="0.2">
      <c r="A31" s="8" t="s">
        <v>235</v>
      </c>
      <c r="B31" s="8" t="s">
        <v>236</v>
      </c>
      <c r="C31" s="8" t="s">
        <v>208</v>
      </c>
      <c r="D31" s="10">
        <f>IFERROR((ZOREN_CFS!B14+ZOREN_CFS!B16)/ZOREN_PLS!B4,"-")</f>
        <v>-1.7966227202516335E-2</v>
      </c>
      <c r="E31" s="10">
        <f>IFERROR((ZOREN_CFS!D14+ZOREN_CFS!D16)/ZOREN_PLS!D4,"-")</f>
        <v>0.18003937338683823</v>
      </c>
      <c r="F31" s="10">
        <f>IFERROR((ZOREN_CFS!F14+ZOREN_CFS!F16)/ZOREN_PLS!F4,"-")</f>
        <v>0.33914791221896551</v>
      </c>
      <c r="G31" s="10">
        <f>IFERROR((ZOREN_CFS!H14+ZOREN_CFS!H16)/ZOREN_PLS!H4,"-")</f>
        <v>7.1021809070409087E-2</v>
      </c>
      <c r="H31" s="10">
        <f>IFERROR((ZOREN_CFS!I14+ZOREN_CFS!I16)/ZOREN_PLS!I4,"-")</f>
        <v>0.14276591414314702</v>
      </c>
      <c r="I31" s="10">
        <f>IFERROR((ZOREN_CFS!J14+ZOREN_CFS!J16)/ZOREN_PLS!J4,"-")</f>
        <v>0.25455545346004882</v>
      </c>
    </row>
    <row r="32" spans="1:9" ht="15" customHeight="1" x14ac:dyDescent="0.2">
      <c r="A32" s="253" t="s">
        <v>238</v>
      </c>
      <c r="B32" s="253"/>
      <c r="C32" s="253"/>
      <c r="D32" s="253"/>
      <c r="E32" s="253"/>
      <c r="F32" s="253"/>
      <c r="G32" s="253"/>
      <c r="H32" s="253"/>
      <c r="I32" s="253"/>
    </row>
    <row r="33" spans="1:9" ht="15" customHeight="1" x14ac:dyDescent="0.2">
      <c r="A33" s="8" t="s">
        <v>239</v>
      </c>
      <c r="B33" s="8" t="s">
        <v>240</v>
      </c>
      <c r="C33" s="8" t="s">
        <v>208</v>
      </c>
      <c r="D33" s="20">
        <f>IFERROR(ZOREN_BS!B29/1000,"-")</f>
        <v>5000</v>
      </c>
      <c r="E33" s="20">
        <f>IFERROR(ZOREN_BS!D29/1000,"-")</f>
        <v>5000</v>
      </c>
      <c r="F33" s="20">
        <f>IFERROR(ZOREN_BS!F29/1000,"-")</f>
        <v>5000</v>
      </c>
      <c r="G33" s="20">
        <f>IFERROR(ZOREN_BS!H29/1000,"-")</f>
        <v>2500</v>
      </c>
      <c r="H33" s="20">
        <f>IFERROR(ZOREN_BS!I29/1000,"-")</f>
        <v>2500</v>
      </c>
      <c r="I33" s="20">
        <f>IFERROR(ZOREN_BS!J29/1000,"-")</f>
        <v>2000</v>
      </c>
    </row>
    <row r="34" spans="1:9" ht="15" customHeight="1" x14ac:dyDescent="0.2">
      <c r="A34" s="8" t="s">
        <v>241</v>
      </c>
      <c r="B34" s="8" t="s">
        <v>398</v>
      </c>
      <c r="C34" s="8" t="s">
        <v>208</v>
      </c>
      <c r="D34" s="15">
        <f>IFERROR(ZOREN_PLS!B21/ZOREN_BS!B29,"-")</f>
        <v>-2.9415976000000001</v>
      </c>
      <c r="E34" s="15">
        <f>IFERROR(ZOREN_PLS!D21/ZOREN_BS!D29,"-")</f>
        <v>-0.472912</v>
      </c>
      <c r="F34" s="15">
        <f>IFERROR(ZOREN_PLS!F21/ZOREN_BS!F29,"-")</f>
        <v>2.1971951999999999</v>
      </c>
      <c r="G34" s="15">
        <f>IFERROR(ZOREN_PLS!H21/ZOREN_BS!H29,"-")</f>
        <v>1.5999599999999999E-2</v>
      </c>
      <c r="H34" s="15">
        <f>IFERROR(ZOREN_PLS!I21/ZOREN_BS!I29,"-")</f>
        <v>-6.37736E-2</v>
      </c>
      <c r="I34" s="15">
        <f>IFERROR(ZOREN_PLS!J21/ZOREN_BS!J29,"-")</f>
        <v>1.9103499999999999E-2</v>
      </c>
    </row>
    <row r="35" spans="1:9" ht="15" customHeight="1" x14ac:dyDescent="0.2">
      <c r="A35" s="8" t="s">
        <v>243</v>
      </c>
      <c r="B35" s="8" t="s">
        <v>244</v>
      </c>
      <c r="C35" s="8" t="s">
        <v>208</v>
      </c>
      <c r="D35" s="21">
        <f>IFERROR(ZOREN_BS!B33/ZOREN_BS!B29,"-")</f>
        <v>11.5101452</v>
      </c>
      <c r="E35" s="21">
        <f>IFERROR(ZOREN_BS!D33/ZOREN_BS!D29,"-")</f>
        <v>11.7295126</v>
      </c>
      <c r="F35" s="21">
        <f>IFERROR(ZOREN_BS!F33/ZOREN_BS!F29,"-")</f>
        <v>7.6944138000000004</v>
      </c>
      <c r="G35" s="21">
        <f>IFERROR(ZOREN_BS!H33/ZOREN_BS!H29,"-")</f>
        <v>7.0434552000000004</v>
      </c>
      <c r="H35" s="21">
        <f>IFERROR(ZOREN_BS!I33/ZOREN_BS!I29,"-")</f>
        <v>2.4727572000000002</v>
      </c>
      <c r="I35" s="21">
        <f>IFERROR(ZOREN_BS!J33/ZOREN_BS!J29,"-")</f>
        <v>1.1486099999999999</v>
      </c>
    </row>
    <row r="36" spans="1:9" ht="15" customHeight="1" x14ac:dyDescent="0.2">
      <c r="A36" s="8" t="s">
        <v>245</v>
      </c>
      <c r="B36" s="8" t="s">
        <v>246</v>
      </c>
      <c r="C36" s="8" t="s">
        <v>208</v>
      </c>
      <c r="D36" s="15">
        <f>IFERROR(ABS(ZOREN_CFS!B21)/ZOREN_BS!B29,"-")</f>
        <v>0</v>
      </c>
      <c r="E36" s="15">
        <f>IFERROR(ABS(ZOREN_CFS!D21)/ZOREN_BS!D29,"-")</f>
        <v>0</v>
      </c>
      <c r="F36" s="15">
        <f>IFERROR(ABS(ZOREN_CFS!F21)/ZOREN_BS!F29,"-")</f>
        <v>0</v>
      </c>
      <c r="G36" s="15">
        <f>IFERROR(ABS(ZOREN_CFS!H21)/ZOREN_BS!H29,"-")</f>
        <v>0</v>
      </c>
      <c r="H36" s="15">
        <f>IFERROR(ABS(ZOREN_CFS!I21)/ZOREN_BS!I29,"-")</f>
        <v>0</v>
      </c>
      <c r="I36" s="15">
        <f>IFERROR(ABS(ZOREN_CFS!J21)/ZOREN_BS!J29,"-")</f>
        <v>0</v>
      </c>
    </row>
    <row r="37" spans="1:9" ht="15" customHeight="1" x14ac:dyDescent="0.2">
      <c r="A37" s="253" t="s">
        <v>247</v>
      </c>
      <c r="B37" s="253"/>
      <c r="C37" s="253"/>
      <c r="D37" s="253"/>
      <c r="E37" s="253"/>
      <c r="F37" s="253"/>
      <c r="G37" s="253"/>
      <c r="H37" s="253"/>
      <c r="I37" s="253"/>
    </row>
    <row r="38" spans="1:9" ht="18" customHeight="1" x14ac:dyDescent="0.2">
      <c r="A38" s="8" t="s">
        <v>248</v>
      </c>
      <c r="B38" s="8" t="s">
        <v>838</v>
      </c>
      <c r="C38" s="8" t="s">
        <v>208</v>
      </c>
      <c r="D38" s="21">
        <v>3.08</v>
      </c>
      <c r="E38" s="21">
        <v>4.37</v>
      </c>
      <c r="F38" s="21">
        <v>4.26</v>
      </c>
      <c r="G38" s="21">
        <v>4.34</v>
      </c>
      <c r="H38" s="21">
        <v>1.01</v>
      </c>
      <c r="I38" s="21">
        <v>1.54</v>
      </c>
    </row>
    <row r="39" spans="1:9" ht="15" customHeight="1" x14ac:dyDescent="0.2">
      <c r="A39" s="8" t="s">
        <v>252</v>
      </c>
      <c r="B39" s="8" t="s">
        <v>253</v>
      </c>
      <c r="C39" s="251" t="s">
        <v>208</v>
      </c>
      <c r="D39" s="9">
        <f>IFERROR(D38*ZOREN_BS!B29,"-")</f>
        <v>15400000</v>
      </c>
      <c r="E39" s="9">
        <f>IFERROR(E38*ZOREN_BS!D29,"-")</f>
        <v>21850000</v>
      </c>
      <c r="F39" s="9">
        <f>IFERROR(F38*ZOREN_BS!F29,"-")</f>
        <v>21300000</v>
      </c>
      <c r="G39" s="9">
        <f>IFERROR(G38*ZOREN_BS!H29,"-")</f>
        <v>10850000</v>
      </c>
      <c r="H39" s="9">
        <f>IFERROR(H38*ZOREN_BS!I29,"-")</f>
        <v>2525000</v>
      </c>
      <c r="I39" s="9">
        <f>IFERROR(I38*ZOREN_BS!J29,"-")</f>
        <v>3080000</v>
      </c>
    </row>
    <row r="40" spans="1:9" ht="15" customHeight="1" x14ac:dyDescent="0.2">
      <c r="A40" s="8" t="s">
        <v>255</v>
      </c>
      <c r="B40" s="8" t="s">
        <v>256</v>
      </c>
      <c r="C40" s="8" t="s">
        <v>208</v>
      </c>
      <c r="D40" s="18">
        <f>IFERROR(D39/ZOREN_PLS!B21,"-")</f>
        <v>-1.0470500791814625</v>
      </c>
      <c r="E40" s="18">
        <f>IFERROR(E39/ZOREN_PLS!D21,"-")</f>
        <v>-9.2406198193321387</v>
      </c>
      <c r="F40" s="18">
        <f>IFERROR(F39/ZOREN_PLS!F21,"-")</f>
        <v>1.9388354753369204</v>
      </c>
      <c r="G40" s="18">
        <f>IFERROR(G39/ZOREN_PLS!H21,"-")</f>
        <v>271.25678141953551</v>
      </c>
      <c r="H40" s="18">
        <f>IFERROR(H39/ZOREN_PLS!I21,"-")</f>
        <v>-15.837274358041572</v>
      </c>
      <c r="I40" s="18">
        <f>IFERROR(I39/ZOREN_PLS!J21,"-")</f>
        <v>80.613500143952677</v>
      </c>
    </row>
    <row r="41" spans="1:9" ht="15" customHeight="1" x14ac:dyDescent="0.2">
      <c r="A41" s="8" t="s">
        <v>259</v>
      </c>
      <c r="B41" s="8" t="s">
        <v>260</v>
      </c>
      <c r="C41" s="8" t="s">
        <v>208</v>
      </c>
      <c r="D41" s="18">
        <f>IFERROR(D39/ZOREN_BS!B33,"-")</f>
        <v>0.26759002136654192</v>
      </c>
      <c r="E41" s="18">
        <f>IFERROR(E39/ZOREN_BS!D33,"-")</f>
        <v>0.37256450025041959</v>
      </c>
      <c r="F41" s="18">
        <f>IFERROR(F39/ZOREN_BS!F33,"-")</f>
        <v>0.55364841438603163</v>
      </c>
      <c r="G41" s="18">
        <f>IFERROR(G39/ZOREN_BS!H33,"-")</f>
        <v>0.61617485690829699</v>
      </c>
      <c r="H41" s="18">
        <f>IFERROR(H39/ZOREN_BS!I33,"-")</f>
        <v>0.40845093889525425</v>
      </c>
      <c r="I41" s="18">
        <f>IFERROR(I39/ZOREN_BS!J33,"-")</f>
        <v>1.3407509946805269</v>
      </c>
    </row>
    <row r="42" spans="1:9" ht="15" customHeight="1" x14ac:dyDescent="0.2">
      <c r="A42" s="8" t="s">
        <v>262</v>
      </c>
      <c r="B42" s="8" t="s">
        <v>263</v>
      </c>
      <c r="C42" s="8" t="s">
        <v>208</v>
      </c>
      <c r="D42" s="18">
        <f>IFERROR((D39+ZOREN_BS!B19+ZOREN_BS!B24-ZOREN_BS!B5-ZOREN_BS!B6)/ZOREN_PLS!B14,"-")</f>
        <v>5.1683413365240281</v>
      </c>
      <c r="E42" s="18">
        <f>IFERROR((E39+ZOREN_BS!D19+ZOREN_BS!D24-ZOREN_BS!D5-ZOREN_BS!D6)/ZOREN_PLS!D14,"-")</f>
        <v>5.330394467774668</v>
      </c>
      <c r="F42" s="18">
        <f>IFERROR((F39+ZOREN_BS!F19+ZOREN_BS!F24-ZOREN_BS!F5-ZOREN_BS!F6)/ZOREN_PLS!F14,"-")</f>
        <v>5.1872446052777166</v>
      </c>
      <c r="G42" s="18">
        <f>IFERROR((G39+ZOREN_BS!H19+ZOREN_BS!H24-ZOREN_BS!H5-ZOREN_BS!H6)/ZOREN_PLS!H14,"-")</f>
        <v>6.0686383734838989</v>
      </c>
      <c r="H42" s="18">
        <f>IFERROR((H39+ZOREN_BS!I19+ZOREN_BS!I24-ZOREN_BS!I5-ZOREN_BS!I6)/ZOREN_PLS!I14,"-")</f>
        <v>7.2057577682228597</v>
      </c>
      <c r="I42" s="18">
        <f>IFERROR((I39+ZOREN_BS!J19+ZOREN_BS!J24-ZOREN_BS!J5-ZOREN_BS!J6)/ZOREN_PLS!J14,"-")</f>
        <v>7.0025990144939492</v>
      </c>
    </row>
    <row r="43" spans="1:9" ht="15" customHeight="1" x14ac:dyDescent="0.2">
      <c r="A43" s="8" t="s">
        <v>265</v>
      </c>
      <c r="B43" s="8" t="s">
        <v>266</v>
      </c>
      <c r="C43" s="8" t="s">
        <v>208</v>
      </c>
      <c r="D43" s="10">
        <f>IFERROR(ABS(ZOREN_CFS!B21)/ZOREN_BS!B29/D38,"-")</f>
        <v>0</v>
      </c>
      <c r="E43" s="10">
        <f>IFERROR(ABS(ZOREN_CFS!D21)/ZOREN_BS!D29/E38,"-")</f>
        <v>0</v>
      </c>
      <c r="F43" s="10">
        <f>IFERROR(ABS(ZOREN_CFS!F21)/ZOREN_BS!F29/F38,"-")</f>
        <v>0</v>
      </c>
      <c r="G43" s="10">
        <f>IFERROR(ABS(ZOREN_CFS!H21)/ZOREN_BS!H29/G38,"-")</f>
        <v>0</v>
      </c>
      <c r="H43" s="10">
        <f>IFERROR(ABS(ZOREN_CFS!I21)/ZOREN_BS!I29/H38,"-")</f>
        <v>0</v>
      </c>
      <c r="I43" s="10">
        <f>IFERROR(ABS(ZOREN_CFS!J21)/ZOREN_BS!J29/I38,"-")</f>
        <v>0</v>
      </c>
    </row>
    <row r="45" spans="1:9" ht="15" customHeight="1" x14ac:dyDescent="0.2"/>
    <row r="46" spans="1:9" ht="15" customHeight="1" x14ac:dyDescent="0.2"/>
    <row r="47" spans="1:9" ht="15" customHeight="1" x14ac:dyDescent="0.2"/>
    <row r="48" spans="1:9" ht="15" customHeight="1" x14ac:dyDescent="0.2"/>
    <row r="49" ht="15" customHeight="1" x14ac:dyDescent="0.2"/>
    <row r="50" ht="15" customHeight="1" x14ac:dyDescent="0.2"/>
    <row r="51" ht="15" customHeight="1" x14ac:dyDescent="0.2"/>
  </sheetData>
  <mergeCells count="8">
    <mergeCell ref="A1:I1"/>
    <mergeCell ref="A3:I3"/>
    <mergeCell ref="A7:I7"/>
    <mergeCell ref="A14:I14"/>
    <mergeCell ref="A22:I22"/>
    <mergeCell ref="A28:I28"/>
    <mergeCell ref="A32:I32"/>
    <mergeCell ref="A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6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4" customWidth="1"/>
    <col min="2" max="10" width="14" customWidth="1"/>
    <col min="11" max="11" width="31" customWidth="1"/>
    <col min="12" max="20" width="16" customWidth="1"/>
  </cols>
  <sheetData>
    <row r="1" spans="1:20" ht="21.75" customHeight="1" x14ac:dyDescent="0.2">
      <c r="A1" s="254" t="s">
        <v>897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12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253" t="s">
        <v>13</v>
      </c>
      <c r="B4" s="253"/>
      <c r="C4" s="253"/>
      <c r="D4" s="253"/>
      <c r="E4" s="253"/>
      <c r="F4" s="253"/>
      <c r="G4" s="253"/>
      <c r="H4" s="253"/>
      <c r="I4" s="253"/>
      <c r="J4" s="253"/>
    </row>
    <row r="5" spans="1:20" ht="15" customHeight="1" x14ac:dyDescent="0.2">
      <c r="A5" s="8" t="s">
        <v>14</v>
      </c>
      <c r="B5" s="9">
        <v>342804.43099999998</v>
      </c>
      <c r="C5" s="9">
        <v>680257.80900000001</v>
      </c>
      <c r="D5" s="9">
        <v>519707.929</v>
      </c>
      <c r="E5" s="9">
        <v>514258.88400000002</v>
      </c>
      <c r="F5" s="9">
        <v>356187.32500000001</v>
      </c>
      <c r="G5" s="9">
        <v>3293506.3829999999</v>
      </c>
      <c r="H5" s="9">
        <v>1998815.3459999999</v>
      </c>
      <c r="I5" s="9">
        <v>243718.101</v>
      </c>
      <c r="J5" s="9">
        <v>71513.983999999997</v>
      </c>
      <c r="L5" s="10">
        <f t="shared" ref="L5:T5" si="0">IFERROR(B5/B16,"")</f>
        <v>1.2780306179317214E-2</v>
      </c>
      <c r="M5" s="10">
        <f t="shared" si="0"/>
        <v>2.5380832974869483E-2</v>
      </c>
      <c r="N5" s="10">
        <f t="shared" si="0"/>
        <v>2.5526661818785649E-2</v>
      </c>
      <c r="O5" s="10">
        <f t="shared" si="0"/>
        <v>2.1609359452765181E-2</v>
      </c>
      <c r="P5" s="10">
        <f t="shared" si="0"/>
        <v>2.1671108394841637E-2</v>
      </c>
      <c r="Q5" s="10">
        <f t="shared" si="0"/>
        <v>0.17751230031965626</v>
      </c>
      <c r="R5" s="10">
        <f t="shared" si="0"/>
        <v>0.20770626955044996</v>
      </c>
      <c r="S5" s="10">
        <f t="shared" si="0"/>
        <v>4.3708143130216759E-2</v>
      </c>
      <c r="T5" s="10">
        <f t="shared" si="0"/>
        <v>2.1529645018535017E-2</v>
      </c>
    </row>
    <row r="6" spans="1:20" ht="15" customHeight="1" x14ac:dyDescent="0.2">
      <c r="A6" s="8" t="s">
        <v>898</v>
      </c>
      <c r="B6" s="9">
        <v>0</v>
      </c>
      <c r="C6" s="9">
        <v>269244.55599999998</v>
      </c>
      <c r="D6" s="9">
        <v>205699.264</v>
      </c>
      <c r="E6" s="9">
        <v>280454.24900000001</v>
      </c>
      <c r="F6" s="9">
        <v>194248.951</v>
      </c>
      <c r="G6" s="9">
        <v>179311.02600000001</v>
      </c>
      <c r="H6" s="9">
        <v>108823.117</v>
      </c>
      <c r="I6" s="9">
        <v>62495.680999999997</v>
      </c>
      <c r="J6" s="9">
        <v>34977.014000000003</v>
      </c>
      <c r="L6" s="10">
        <f t="shared" ref="L6:T6" si="1">IFERROR(B6/B16,"")</f>
        <v>0</v>
      </c>
      <c r="M6" s="10">
        <f t="shared" si="1"/>
        <v>1.0045678292579354E-2</v>
      </c>
      <c r="N6" s="10">
        <f t="shared" si="1"/>
        <v>1.0103397034185157E-2</v>
      </c>
      <c r="O6" s="10">
        <f t="shared" si="1"/>
        <v>1.1784797239781489E-2</v>
      </c>
      <c r="P6" s="10">
        <f t="shared" si="1"/>
        <v>1.181847240831852E-2</v>
      </c>
      <c r="Q6" s="10">
        <f t="shared" si="1"/>
        <v>9.6644454257727476E-3</v>
      </c>
      <c r="R6" s="10">
        <f t="shared" si="1"/>
        <v>1.1308320059757113E-2</v>
      </c>
      <c r="S6" s="10">
        <f t="shared" si="1"/>
        <v>1.1207908476885629E-2</v>
      </c>
      <c r="T6" s="10">
        <f t="shared" si="1"/>
        <v>1.0530006204497426E-2</v>
      </c>
    </row>
    <row r="7" spans="1:20" ht="15" customHeight="1" x14ac:dyDescent="0.2">
      <c r="A7" s="8" t="s">
        <v>840</v>
      </c>
      <c r="B7" s="9">
        <v>722599.24800000002</v>
      </c>
      <c r="C7" s="9">
        <v>877541.22100000002</v>
      </c>
      <c r="D7" s="9">
        <v>670429.83499999996</v>
      </c>
      <c r="E7" s="9">
        <v>377015.09</v>
      </c>
      <c r="F7" s="9">
        <v>261129.17199999999</v>
      </c>
      <c r="G7" s="9">
        <v>725904.049</v>
      </c>
      <c r="H7" s="9">
        <v>440548.15299999999</v>
      </c>
      <c r="I7" s="9">
        <v>272782.25199999998</v>
      </c>
      <c r="J7" s="9">
        <v>56325.13</v>
      </c>
      <c r="L7" s="10">
        <f t="shared" ref="L7:T7" si="2">IFERROR(B7/B16,"")</f>
        <v>2.6939674051017073E-2</v>
      </c>
      <c r="M7" s="10">
        <f t="shared" si="2"/>
        <v>3.2741597176966813E-2</v>
      </c>
      <c r="N7" s="10">
        <f t="shared" si="2"/>
        <v>3.2929718244243414E-2</v>
      </c>
      <c r="O7" s="10">
        <f t="shared" si="2"/>
        <v>1.5842321547383544E-2</v>
      </c>
      <c r="P7" s="10">
        <f t="shared" si="2"/>
        <v>1.5887591147347103E-2</v>
      </c>
      <c r="Q7" s="10">
        <f t="shared" si="2"/>
        <v>3.9124532508714581E-2</v>
      </c>
      <c r="R7" s="10">
        <f t="shared" si="2"/>
        <v>4.5779423096830113E-2</v>
      </c>
      <c r="S7" s="10">
        <f t="shared" si="2"/>
        <v>4.8920476833187107E-2</v>
      </c>
      <c r="T7" s="10">
        <f t="shared" si="2"/>
        <v>1.6956964032696559E-2</v>
      </c>
    </row>
    <row r="8" spans="1:20" ht="15" customHeight="1" x14ac:dyDescent="0.2">
      <c r="A8" s="8" t="s">
        <v>899</v>
      </c>
      <c r="B8" s="9">
        <v>576315.46699999995</v>
      </c>
      <c r="C8" s="9">
        <v>947553.00600000005</v>
      </c>
      <c r="D8" s="9">
        <v>723918.09699999995</v>
      </c>
      <c r="E8" s="9">
        <v>1602585.6510000001</v>
      </c>
      <c r="F8" s="9">
        <v>1109987.0419999999</v>
      </c>
      <c r="G8" s="9">
        <v>1115190.388</v>
      </c>
      <c r="H8" s="9">
        <v>670761.52500000002</v>
      </c>
      <c r="I8" s="9">
        <v>151107.095</v>
      </c>
      <c r="J8" s="9">
        <v>40535.811999999998</v>
      </c>
      <c r="L8" s="10">
        <f t="shared" ref="L8:T8" si="3">IFERROR(B8/B16,"")</f>
        <v>2.1485977012170494E-2</v>
      </c>
      <c r="M8" s="10">
        <f t="shared" si="3"/>
        <v>3.5353779496446032E-2</v>
      </c>
      <c r="N8" s="10">
        <f t="shared" si="3"/>
        <v>3.5556918444894198E-2</v>
      </c>
      <c r="O8" s="10">
        <f t="shared" si="3"/>
        <v>6.7341275889951743E-2</v>
      </c>
      <c r="P8" s="10">
        <f t="shared" si="3"/>
        <v>6.753370436202813E-2</v>
      </c>
      <c r="Q8" s="10">
        <f t="shared" si="3"/>
        <v>6.0106156796918525E-2</v>
      </c>
      <c r="R8" s="10">
        <f t="shared" si="3"/>
        <v>6.9701973418669613E-2</v>
      </c>
      <c r="S8" s="10">
        <f t="shared" si="3"/>
        <v>2.709938453135765E-2</v>
      </c>
      <c r="T8" s="10">
        <f t="shared" si="3"/>
        <v>1.2203510335797708E-2</v>
      </c>
    </row>
    <row r="9" spans="1:20" ht="15" customHeight="1" x14ac:dyDescent="0.2">
      <c r="A9" s="6" t="s">
        <v>19</v>
      </c>
      <c r="B9" s="11">
        <f t="shared" ref="B9:J9" si="4">SUM(B5:B8)</f>
        <v>1641719.1459999999</v>
      </c>
      <c r="C9" s="11">
        <f t="shared" si="4"/>
        <v>2774596.5920000002</v>
      </c>
      <c r="D9" s="11">
        <f t="shared" si="4"/>
        <v>2119755.125</v>
      </c>
      <c r="E9" s="11">
        <f t="shared" si="4"/>
        <v>2774313.8739999998</v>
      </c>
      <c r="F9" s="11">
        <f t="shared" si="4"/>
        <v>1921552.49</v>
      </c>
      <c r="G9" s="11">
        <f t="shared" si="4"/>
        <v>5313911.8459999999</v>
      </c>
      <c r="H9" s="11">
        <f t="shared" si="4"/>
        <v>3218948.1409999998</v>
      </c>
      <c r="I9" s="11">
        <f t="shared" si="4"/>
        <v>730103.12899999996</v>
      </c>
      <c r="J9" s="11">
        <f t="shared" si="4"/>
        <v>203351.94</v>
      </c>
      <c r="L9" s="12">
        <f t="shared" ref="L9:T9" si="5">IFERROR(B9/B16,"")</f>
        <v>6.1205957242504785E-2</v>
      </c>
      <c r="M9" s="12">
        <f t="shared" si="5"/>
        <v>0.10352188794086169</v>
      </c>
      <c r="N9" s="12">
        <f t="shared" si="5"/>
        <v>0.10411669554210842</v>
      </c>
      <c r="O9" s="12">
        <f t="shared" si="5"/>
        <v>0.11657775412988194</v>
      </c>
      <c r="P9" s="12">
        <f t="shared" si="5"/>
        <v>0.1169108763125354</v>
      </c>
      <c r="Q9" s="12">
        <f t="shared" si="5"/>
        <v>0.28640743505106209</v>
      </c>
      <c r="R9" s="12">
        <f t="shared" si="5"/>
        <v>0.3344959861257068</v>
      </c>
      <c r="S9" s="12">
        <f t="shared" si="5"/>
        <v>0.13093591297164714</v>
      </c>
      <c r="T9" s="12">
        <f t="shared" si="5"/>
        <v>6.122012559152671E-2</v>
      </c>
    </row>
    <row r="10" spans="1:20" ht="15" customHeight="1" x14ac:dyDescent="0.2">
      <c r="A10" s="253" t="s">
        <v>20</v>
      </c>
      <c r="B10" s="253"/>
      <c r="C10" s="253"/>
      <c r="D10" s="253"/>
      <c r="E10" s="253"/>
      <c r="F10" s="253"/>
      <c r="G10" s="253"/>
      <c r="H10" s="253"/>
      <c r="I10" s="253"/>
      <c r="J10" s="253"/>
    </row>
    <row r="11" spans="1:20" ht="15" customHeight="1" x14ac:dyDescent="0.2">
      <c r="A11" s="8" t="s">
        <v>21</v>
      </c>
      <c r="B11" s="9">
        <v>18931946.238000002</v>
      </c>
      <c r="C11" s="9">
        <v>19101807.695</v>
      </c>
      <c r="D11" s="9">
        <v>14476686.717</v>
      </c>
      <c r="E11" s="9">
        <v>17421237.252</v>
      </c>
      <c r="F11" s="9">
        <v>12066342.634</v>
      </c>
      <c r="G11" s="9">
        <v>11728788.424000001</v>
      </c>
      <c r="H11" s="9">
        <v>5519156.1689999998</v>
      </c>
      <c r="I11" s="9">
        <v>4138040.2030000002</v>
      </c>
      <c r="J11" s="9">
        <v>2784297.344</v>
      </c>
      <c r="L11" s="10">
        <f t="shared" ref="L11:T11" si="6">IFERROR(B11/B16,"")</f>
        <v>0.70581371654444203</v>
      </c>
      <c r="M11" s="10">
        <f t="shared" si="6"/>
        <v>0.71270007372289002</v>
      </c>
      <c r="N11" s="10">
        <f t="shared" si="6"/>
        <v>0.71105608642997109</v>
      </c>
      <c r="O11" s="10">
        <f t="shared" si="6"/>
        <v>0.7320472034672153</v>
      </c>
      <c r="P11" s="10">
        <f t="shared" si="6"/>
        <v>0.73413903526946933</v>
      </c>
      <c r="Q11" s="10">
        <f t="shared" si="6"/>
        <v>0.63215429727217742</v>
      </c>
      <c r="R11" s="10">
        <f t="shared" si="6"/>
        <v>0.57352138166410838</v>
      </c>
      <c r="S11" s="10">
        <f t="shared" si="6"/>
        <v>0.74211169678905065</v>
      </c>
      <c r="T11" s="10">
        <f t="shared" si="6"/>
        <v>0.83822673677878001</v>
      </c>
    </row>
    <row r="12" spans="1:20" ht="15" customHeight="1" x14ac:dyDescent="0.2">
      <c r="A12" s="8" t="s">
        <v>805</v>
      </c>
      <c r="B12" s="9">
        <v>510.97800000000001</v>
      </c>
      <c r="C12" s="9">
        <v>20157.238000000001</v>
      </c>
      <c r="D12" s="9">
        <v>15262.624</v>
      </c>
      <c r="E12" s="9">
        <v>16009.699000000001</v>
      </c>
      <c r="F12" s="9">
        <v>11088.679</v>
      </c>
      <c r="G12" s="9">
        <v>40137.205999999998</v>
      </c>
      <c r="H12" s="9">
        <v>17799.580999999998</v>
      </c>
      <c r="I12" s="9">
        <v>18772.153999999999</v>
      </c>
      <c r="J12" s="9">
        <v>18334.846000000001</v>
      </c>
      <c r="L12" s="10">
        <f t="shared" ref="L12:T12" si="7">IFERROR(B12/B16,"")</f>
        <v>1.9050090081522756E-5</v>
      </c>
      <c r="M12" s="10">
        <f t="shared" si="7"/>
        <v>7.5207882091757393E-4</v>
      </c>
      <c r="N12" s="10">
        <f t="shared" si="7"/>
        <v>7.4965922121861934E-4</v>
      </c>
      <c r="O12" s="10">
        <f t="shared" si="7"/>
        <v>6.7273381400947323E-4</v>
      </c>
      <c r="P12" s="10">
        <f t="shared" si="7"/>
        <v>6.746561365276099E-4</v>
      </c>
      <c r="Q12" s="10">
        <f t="shared" si="7"/>
        <v>2.1633016417517926E-3</v>
      </c>
      <c r="R12" s="10">
        <f t="shared" si="7"/>
        <v>1.8496378749891125E-3</v>
      </c>
      <c r="S12" s="10">
        <f t="shared" si="7"/>
        <v>3.3665779871412628E-3</v>
      </c>
      <c r="T12" s="10">
        <f t="shared" si="7"/>
        <v>5.5197977202543595E-3</v>
      </c>
    </row>
    <row r="13" spans="1:20" ht="15" customHeight="1" x14ac:dyDescent="0.2">
      <c r="A13" s="8" t="s">
        <v>900</v>
      </c>
      <c r="B13" s="9">
        <v>6248688.9270000001</v>
      </c>
      <c r="C13" s="9">
        <v>4905466.9850000003</v>
      </c>
      <c r="D13" s="9">
        <v>3747711.61</v>
      </c>
      <c r="E13" s="9">
        <v>3586408.9909999999</v>
      </c>
      <c r="F13" s="9">
        <v>2437061.7609999999</v>
      </c>
      <c r="G13" s="9">
        <v>1470842.3370000001</v>
      </c>
      <c r="H13" s="9">
        <v>867374.93599999999</v>
      </c>
      <c r="I13" s="9">
        <v>689118.71600000001</v>
      </c>
      <c r="J13" s="9">
        <v>315667.66399999999</v>
      </c>
      <c r="L13" s="10">
        <f t="shared" ref="L13:T13" si="8">IFERROR(B13/B16,"")</f>
        <v>0.2329612761229716</v>
      </c>
      <c r="M13" s="10">
        <f t="shared" si="8"/>
        <v>0.18302595951533074</v>
      </c>
      <c r="N13" s="10">
        <f t="shared" si="8"/>
        <v>0.18407755880670179</v>
      </c>
      <c r="O13" s="10">
        <f t="shared" si="8"/>
        <v>0.15070230858889327</v>
      </c>
      <c r="P13" s="10">
        <f t="shared" si="8"/>
        <v>0.14827543228146772</v>
      </c>
      <c r="Q13" s="10">
        <f t="shared" si="8"/>
        <v>7.9274966035008609E-2</v>
      </c>
      <c r="R13" s="10">
        <f t="shared" si="8"/>
        <v>9.0132994335195726E-2</v>
      </c>
      <c r="S13" s="10">
        <f t="shared" si="8"/>
        <v>0.12358581225216092</v>
      </c>
      <c r="T13" s="10">
        <f t="shared" si="8"/>
        <v>9.5033339909439046E-2</v>
      </c>
    </row>
    <row r="14" spans="1:20" ht="15" customHeight="1" x14ac:dyDescent="0.2">
      <c r="A14" s="6" t="s">
        <v>24</v>
      </c>
      <c r="B14" s="11">
        <f t="shared" ref="B14:J14" si="9">SUM(B11:B13)</f>
        <v>25181146.143000003</v>
      </c>
      <c r="C14" s="11">
        <f t="shared" si="9"/>
        <v>24027431.918000001</v>
      </c>
      <c r="D14" s="11">
        <f t="shared" si="9"/>
        <v>18239660.951000001</v>
      </c>
      <c r="E14" s="11">
        <f t="shared" si="9"/>
        <v>21023655.942000002</v>
      </c>
      <c r="F14" s="11">
        <f t="shared" si="9"/>
        <v>14514493.073999999</v>
      </c>
      <c r="G14" s="11">
        <f t="shared" si="9"/>
        <v>13239767.967</v>
      </c>
      <c r="H14" s="11">
        <f t="shared" si="9"/>
        <v>6404330.6859999998</v>
      </c>
      <c r="I14" s="11">
        <f t="shared" si="9"/>
        <v>4845931.0730000008</v>
      </c>
      <c r="J14" s="11">
        <f t="shared" si="9"/>
        <v>3118299.8539999998</v>
      </c>
      <c r="L14" s="12">
        <f t="shared" ref="L14:T14" si="10">IFERROR(B14/B16,"")</f>
        <v>0.93879404275749512</v>
      </c>
      <c r="M14" s="12">
        <f t="shared" si="10"/>
        <v>0.8964781120591383</v>
      </c>
      <c r="N14" s="12">
        <f t="shared" si="10"/>
        <v>0.89588330445789155</v>
      </c>
      <c r="O14" s="12">
        <f t="shared" si="10"/>
        <v>0.88342224587011808</v>
      </c>
      <c r="P14" s="12">
        <f t="shared" si="10"/>
        <v>0.88308912368746462</v>
      </c>
      <c r="Q14" s="12">
        <f t="shared" si="10"/>
        <v>0.71359256494893786</v>
      </c>
      <c r="R14" s="12">
        <f t="shared" si="10"/>
        <v>0.66550401387429325</v>
      </c>
      <c r="S14" s="12">
        <f t="shared" si="10"/>
        <v>0.86906408702835292</v>
      </c>
      <c r="T14" s="12">
        <f t="shared" si="10"/>
        <v>0.93877987440847332</v>
      </c>
    </row>
    <row r="16" spans="1:20" ht="15" customHeight="1" x14ac:dyDescent="0.2">
      <c r="A16" s="6" t="s">
        <v>25</v>
      </c>
      <c r="B16" s="11">
        <f t="shared" ref="B16:J16" si="11">B9+B14</f>
        <v>26822865.289000005</v>
      </c>
      <c r="C16" s="11">
        <f t="shared" si="11"/>
        <v>26802028.510000002</v>
      </c>
      <c r="D16" s="11">
        <f t="shared" si="11"/>
        <v>20359416.076000001</v>
      </c>
      <c r="E16" s="11">
        <f t="shared" si="11"/>
        <v>23797969.816</v>
      </c>
      <c r="F16" s="11">
        <f t="shared" si="11"/>
        <v>16436045.563999999</v>
      </c>
      <c r="G16" s="11">
        <f t="shared" si="11"/>
        <v>18553679.813000001</v>
      </c>
      <c r="H16" s="11">
        <f t="shared" si="11"/>
        <v>9623278.8269999996</v>
      </c>
      <c r="I16" s="11">
        <f t="shared" si="11"/>
        <v>5576034.2020000005</v>
      </c>
      <c r="J16" s="11">
        <f t="shared" si="11"/>
        <v>3321651.7939999998</v>
      </c>
      <c r="L16" s="12">
        <f t="shared" ref="L16:T16" si="12">IFERROR(B16/B16,"")</f>
        <v>1</v>
      </c>
      <c r="M16" s="12">
        <f t="shared" si="12"/>
        <v>1</v>
      </c>
      <c r="N16" s="12">
        <f t="shared" si="12"/>
        <v>1</v>
      </c>
      <c r="O16" s="12">
        <f t="shared" si="12"/>
        <v>1</v>
      </c>
      <c r="P16" s="12">
        <f t="shared" si="12"/>
        <v>1</v>
      </c>
      <c r="Q16" s="12">
        <f t="shared" si="12"/>
        <v>1</v>
      </c>
      <c r="R16" s="12">
        <f t="shared" si="12"/>
        <v>1</v>
      </c>
      <c r="S16" s="12">
        <f t="shared" si="12"/>
        <v>1</v>
      </c>
      <c r="T16" s="12">
        <f t="shared" si="12"/>
        <v>1</v>
      </c>
    </row>
    <row r="17" spans="1:20" ht="15" customHeight="1" x14ac:dyDescent="0.2">
      <c r="A17" s="253" t="s">
        <v>26</v>
      </c>
      <c r="B17" s="253"/>
      <c r="C17" s="253"/>
      <c r="D17" s="253"/>
      <c r="E17" s="253"/>
      <c r="F17" s="253"/>
      <c r="G17" s="253"/>
      <c r="H17" s="253"/>
      <c r="I17" s="253"/>
      <c r="J17" s="253"/>
    </row>
    <row r="18" spans="1:20" ht="15" customHeight="1" x14ac:dyDescent="0.2">
      <c r="A18" s="253" t="s">
        <v>27</v>
      </c>
      <c r="B18" s="253"/>
      <c r="C18" s="253"/>
      <c r="D18" s="253"/>
      <c r="E18" s="253"/>
      <c r="F18" s="253"/>
      <c r="G18" s="253"/>
      <c r="H18" s="253"/>
      <c r="I18" s="253"/>
      <c r="J18" s="253"/>
    </row>
    <row r="19" spans="1:20" ht="15" customHeight="1" x14ac:dyDescent="0.2">
      <c r="A19" s="8" t="s">
        <v>843</v>
      </c>
      <c r="B19" s="9">
        <v>1936441.0530000001</v>
      </c>
      <c r="C19" s="9">
        <v>1661676.5279999999</v>
      </c>
      <c r="D19" s="9">
        <v>1269498.807</v>
      </c>
      <c r="E19" s="9">
        <v>1910416.6850000001</v>
      </c>
      <c r="F19" s="9">
        <v>1323619.513</v>
      </c>
      <c r="G19" s="9">
        <v>1573097.318</v>
      </c>
      <c r="H19" s="9">
        <v>954706.22900000005</v>
      </c>
      <c r="I19" s="9">
        <v>971989.34900000005</v>
      </c>
      <c r="J19" s="9">
        <v>496483.22200000001</v>
      </c>
      <c r="L19" s="10">
        <f t="shared" ref="L19:T19" si="13">IFERROR(B19/B16,"")</f>
        <v>7.2193668802196534E-2</v>
      </c>
      <c r="M19" s="10">
        <f t="shared" si="13"/>
        <v>6.1998162839802154E-2</v>
      </c>
      <c r="N19" s="10">
        <f t="shared" si="13"/>
        <v>6.2354381985272413E-2</v>
      </c>
      <c r="O19" s="10">
        <f t="shared" si="13"/>
        <v>8.0276456343581742E-2</v>
      </c>
      <c r="P19" s="10">
        <f t="shared" si="13"/>
        <v>8.0531506672087499E-2</v>
      </c>
      <c r="Q19" s="10">
        <f t="shared" si="13"/>
        <v>8.4786270640381453E-2</v>
      </c>
      <c r="R19" s="10">
        <f t="shared" si="13"/>
        <v>9.9207998247061502E-2</v>
      </c>
      <c r="S19" s="10">
        <f t="shared" si="13"/>
        <v>0.17431552852587756</v>
      </c>
      <c r="T19" s="10">
        <f t="shared" si="13"/>
        <v>0.14946877420951007</v>
      </c>
    </row>
    <row r="20" spans="1:20" ht="15" customHeight="1" x14ac:dyDescent="0.2">
      <c r="A20" s="8" t="s">
        <v>294</v>
      </c>
      <c r="B20" s="9">
        <v>336005.33199999999</v>
      </c>
      <c r="C20" s="9">
        <v>575754.10400000005</v>
      </c>
      <c r="D20" s="9">
        <v>439868.48700000002</v>
      </c>
      <c r="E20" s="9">
        <v>209549.886</v>
      </c>
      <c r="F20" s="9">
        <v>145138.98699999999</v>
      </c>
      <c r="G20" s="9">
        <v>648772.80099999998</v>
      </c>
      <c r="H20" s="9">
        <v>393737.51899999997</v>
      </c>
      <c r="I20" s="9">
        <v>120202.943</v>
      </c>
      <c r="J20" s="9">
        <v>29922.850999999999</v>
      </c>
      <c r="L20" s="10">
        <f t="shared" ref="L20:T20" si="14">IFERROR(B20/B16,"")</f>
        <v>1.2526824721361704E-2</v>
      </c>
      <c r="M20" s="10">
        <f t="shared" si="14"/>
        <v>2.1481736122517095E-2</v>
      </c>
      <c r="N20" s="10">
        <f t="shared" si="14"/>
        <v>2.1605162218700558E-2</v>
      </c>
      <c r="O20" s="10">
        <f t="shared" si="14"/>
        <v>8.805368173007519E-3</v>
      </c>
      <c r="P20" s="10">
        <f t="shared" si="14"/>
        <v>8.8305296085269477E-3</v>
      </c>
      <c r="Q20" s="10">
        <f t="shared" si="14"/>
        <v>3.4967338422291008E-2</v>
      </c>
      <c r="R20" s="10">
        <f t="shared" si="14"/>
        <v>4.0915110751575855E-2</v>
      </c>
      <c r="S20" s="10">
        <f t="shared" si="14"/>
        <v>2.155706702030017E-2</v>
      </c>
      <c r="T20" s="10">
        <f t="shared" si="14"/>
        <v>9.008424981224868E-3</v>
      </c>
    </row>
    <row r="21" spans="1:20" ht="15" customHeight="1" x14ac:dyDescent="0.2">
      <c r="A21" s="8" t="s">
        <v>901</v>
      </c>
      <c r="B21" s="9">
        <v>399488.94500000001</v>
      </c>
      <c r="C21" s="9">
        <v>453889.40899999999</v>
      </c>
      <c r="D21" s="9">
        <v>346765.478</v>
      </c>
      <c r="E21" s="9">
        <v>222213.94</v>
      </c>
      <c r="F21" s="9">
        <v>153910.397</v>
      </c>
      <c r="G21" s="9">
        <v>1414795.2309999999</v>
      </c>
      <c r="H21" s="9">
        <v>858633.34900000005</v>
      </c>
      <c r="I21" s="9">
        <v>86293.616999999998</v>
      </c>
      <c r="J21" s="9">
        <v>65396.372000000003</v>
      </c>
      <c r="L21" s="10">
        <f t="shared" ref="L21:T21" si="15">IFERROR(B21/B16,"")</f>
        <v>1.4893596962731253E-2</v>
      </c>
      <c r="M21" s="10">
        <f t="shared" si="15"/>
        <v>1.6934890164401216E-2</v>
      </c>
      <c r="N21" s="10">
        <f t="shared" si="15"/>
        <v>1.7032191724239705E-2</v>
      </c>
      <c r="O21" s="10">
        <f t="shared" si="15"/>
        <v>9.3375166755022831E-3</v>
      </c>
      <c r="P21" s="10">
        <f t="shared" si="15"/>
        <v>9.3641987302049805E-3</v>
      </c>
      <c r="Q21" s="10">
        <f t="shared" si="15"/>
        <v>7.6254157949233112E-2</v>
      </c>
      <c r="R21" s="10">
        <f t="shared" si="15"/>
        <v>8.9224615064767268E-2</v>
      </c>
      <c r="S21" s="10">
        <f t="shared" si="15"/>
        <v>1.547580482362328E-2</v>
      </c>
      <c r="T21" s="10">
        <f t="shared" si="15"/>
        <v>1.9687907118418446E-2</v>
      </c>
    </row>
    <row r="22" spans="1:20" ht="15" customHeight="1" x14ac:dyDescent="0.2">
      <c r="A22" s="6" t="s">
        <v>31</v>
      </c>
      <c r="B22" s="11">
        <f t="shared" ref="B22:J22" si="16">SUM(B19:B21)</f>
        <v>2671935.33</v>
      </c>
      <c r="C22" s="11">
        <f t="shared" si="16"/>
        <v>2691320.0410000002</v>
      </c>
      <c r="D22" s="11">
        <f t="shared" si="16"/>
        <v>2056132.7719999999</v>
      </c>
      <c r="E22" s="11">
        <f t="shared" si="16"/>
        <v>2342180.5109999999</v>
      </c>
      <c r="F22" s="11">
        <f t="shared" si="16"/>
        <v>1622668.8969999999</v>
      </c>
      <c r="G22" s="11">
        <f t="shared" si="16"/>
        <v>3636665.3499999996</v>
      </c>
      <c r="H22" s="11">
        <f t="shared" si="16"/>
        <v>2207077.0970000001</v>
      </c>
      <c r="I22" s="11">
        <f t="shared" si="16"/>
        <v>1178485.9090000002</v>
      </c>
      <c r="J22" s="11">
        <f t="shared" si="16"/>
        <v>591802.44499999995</v>
      </c>
      <c r="L22" s="12">
        <f t="shared" ref="L22:T22" si="17">IFERROR(B22/B16,"")</f>
        <v>9.9614090486289497E-2</v>
      </c>
      <c r="M22" s="12">
        <f t="shared" si="17"/>
        <v>0.10041478912672047</v>
      </c>
      <c r="N22" s="12">
        <f t="shared" si="17"/>
        <v>0.10099173592821267</v>
      </c>
      <c r="O22" s="12">
        <f t="shared" si="17"/>
        <v>9.8419341192091545E-2</v>
      </c>
      <c r="P22" s="12">
        <f t="shared" si="17"/>
        <v>9.872623501081941E-2</v>
      </c>
      <c r="Q22" s="12">
        <f t="shared" si="17"/>
        <v>0.19600776701190556</v>
      </c>
      <c r="R22" s="12">
        <f t="shared" si="17"/>
        <v>0.22934772406340462</v>
      </c>
      <c r="S22" s="12">
        <f t="shared" si="17"/>
        <v>0.21134840036980104</v>
      </c>
      <c r="T22" s="12">
        <f t="shared" si="17"/>
        <v>0.17816510630915336</v>
      </c>
    </row>
    <row r="23" spans="1:20" ht="15" customHeight="1" x14ac:dyDescent="0.2">
      <c r="A23" s="253" t="s">
        <v>32</v>
      </c>
      <c r="B23" s="253"/>
      <c r="C23" s="253"/>
      <c r="D23" s="253"/>
      <c r="E23" s="253"/>
      <c r="F23" s="253"/>
      <c r="G23" s="253"/>
      <c r="H23" s="253"/>
      <c r="I23" s="253"/>
      <c r="J23" s="253"/>
    </row>
    <row r="24" spans="1:20" ht="15" customHeight="1" x14ac:dyDescent="0.2">
      <c r="A24" s="8" t="s">
        <v>845</v>
      </c>
      <c r="B24" s="9">
        <v>5178765.7699999996</v>
      </c>
      <c r="C24" s="9">
        <v>5934285.0970000001</v>
      </c>
      <c r="D24" s="9">
        <v>4533714.9800000004</v>
      </c>
      <c r="E24" s="9">
        <v>5800979.8720000004</v>
      </c>
      <c r="F24" s="9">
        <v>4016989.3790000002</v>
      </c>
      <c r="G24" s="9">
        <v>4850966.7929999996</v>
      </c>
      <c r="H24" s="9">
        <v>2944031.6009999998</v>
      </c>
      <c r="I24" s="9">
        <v>2507552.673</v>
      </c>
      <c r="J24" s="9">
        <v>1801563.558</v>
      </c>
      <c r="L24" s="10">
        <f t="shared" ref="L24:T24" si="18">IFERROR(B24/B16,"")</f>
        <v>0.19307280240950991</v>
      </c>
      <c r="M24" s="10">
        <f t="shared" si="18"/>
        <v>0.22141178958845903</v>
      </c>
      <c r="N24" s="10">
        <f t="shared" si="18"/>
        <v>0.22268393961182487</v>
      </c>
      <c r="O24" s="10">
        <f t="shared" si="18"/>
        <v>0.24375944321518761</v>
      </c>
      <c r="P24" s="10">
        <f t="shared" si="18"/>
        <v>0.24440120729516859</v>
      </c>
      <c r="Q24" s="10">
        <f t="shared" si="18"/>
        <v>0.26145577814709697</v>
      </c>
      <c r="R24" s="10">
        <f t="shared" si="18"/>
        <v>0.30592812012678472</v>
      </c>
      <c r="S24" s="10">
        <f t="shared" si="18"/>
        <v>0.44970180995313769</v>
      </c>
      <c r="T24" s="10">
        <f t="shared" si="18"/>
        <v>0.54236978158102511</v>
      </c>
    </row>
    <row r="25" spans="1:20" ht="15" customHeight="1" x14ac:dyDescent="0.2">
      <c r="A25" s="8" t="s">
        <v>902</v>
      </c>
      <c r="B25" s="9">
        <v>871807.90800000005</v>
      </c>
      <c r="C25" s="9">
        <v>633341.57299999997</v>
      </c>
      <c r="D25" s="9">
        <v>443859.10800000001</v>
      </c>
      <c r="E25" s="9">
        <v>468721.90299999999</v>
      </c>
      <c r="F25" s="9">
        <v>320311.48700000002</v>
      </c>
      <c r="G25" s="9">
        <v>796143.68400000001</v>
      </c>
      <c r="H25" s="9">
        <v>157697.71599999999</v>
      </c>
      <c r="I25" s="9">
        <v>76756.903000000006</v>
      </c>
      <c r="J25" s="9">
        <v>58012.720999999998</v>
      </c>
      <c r="L25" s="10">
        <f t="shared" ref="L25:T25" si="19">IFERROR(B25/B16,"")</f>
        <v>3.2502415331352633E-2</v>
      </c>
      <c r="M25" s="10">
        <f t="shared" si="19"/>
        <v>2.3630359648475725E-2</v>
      </c>
      <c r="N25" s="10">
        <f t="shared" si="19"/>
        <v>2.1801170836290736E-2</v>
      </c>
      <c r="O25" s="10">
        <f t="shared" si="19"/>
        <v>1.969587769982236E-2</v>
      </c>
      <c r="P25" s="10">
        <f t="shared" si="19"/>
        <v>1.9488354772000682E-2</v>
      </c>
      <c r="Q25" s="10">
        <f t="shared" si="19"/>
        <v>4.2910284753440997E-2</v>
      </c>
      <c r="R25" s="10">
        <f t="shared" si="19"/>
        <v>1.6387108680416498E-2</v>
      </c>
      <c r="S25" s="10">
        <f t="shared" si="19"/>
        <v>1.3765500751854965E-2</v>
      </c>
      <c r="T25" s="10">
        <f t="shared" si="19"/>
        <v>1.7465021801740366E-2</v>
      </c>
    </row>
    <row r="26" spans="1:20" ht="15" customHeight="1" x14ac:dyDescent="0.2">
      <c r="A26" s="6" t="s">
        <v>35</v>
      </c>
      <c r="B26" s="11">
        <f t="shared" ref="B26:J26" si="20">SUM(B24:B25)</f>
        <v>6050573.6779999994</v>
      </c>
      <c r="C26" s="11">
        <f t="shared" si="20"/>
        <v>6567626.6699999999</v>
      </c>
      <c r="D26" s="11">
        <f t="shared" si="20"/>
        <v>4977574.0880000005</v>
      </c>
      <c r="E26" s="11">
        <f t="shared" si="20"/>
        <v>6269701.7750000004</v>
      </c>
      <c r="F26" s="11">
        <f t="shared" si="20"/>
        <v>4337300.8660000004</v>
      </c>
      <c r="G26" s="11">
        <f t="shared" si="20"/>
        <v>5647110.477</v>
      </c>
      <c r="H26" s="11">
        <f t="shared" si="20"/>
        <v>3101729.3169999998</v>
      </c>
      <c r="I26" s="11">
        <f t="shared" si="20"/>
        <v>2584309.5759999999</v>
      </c>
      <c r="J26" s="11">
        <f t="shared" si="20"/>
        <v>1859576.2789999999</v>
      </c>
      <c r="L26" s="12">
        <f t="shared" ref="L26:T26" si="21">IFERROR(B26/B16,"")</f>
        <v>0.22557521774086253</v>
      </c>
      <c r="M26" s="12">
        <f t="shared" si="21"/>
        <v>0.24504214923693474</v>
      </c>
      <c r="N26" s="12">
        <f t="shared" si="21"/>
        <v>0.24448511044811558</v>
      </c>
      <c r="O26" s="12">
        <f t="shared" si="21"/>
        <v>0.26345532091500995</v>
      </c>
      <c r="P26" s="12">
        <f t="shared" si="21"/>
        <v>0.26388956206716929</v>
      </c>
      <c r="Q26" s="12">
        <f t="shared" si="21"/>
        <v>0.30436606290053797</v>
      </c>
      <c r="R26" s="12">
        <f t="shared" si="21"/>
        <v>0.3223152288072012</v>
      </c>
      <c r="S26" s="12">
        <f t="shared" si="21"/>
        <v>0.46346731070499264</v>
      </c>
      <c r="T26" s="12">
        <f t="shared" si="21"/>
        <v>0.55983480338276537</v>
      </c>
    </row>
    <row r="27" spans="1:20" ht="15" customHeight="1" x14ac:dyDescent="0.2">
      <c r="A27" s="6" t="s">
        <v>36</v>
      </c>
      <c r="B27" s="11">
        <f t="shared" ref="B27:J27" si="22">B22+B26</f>
        <v>8722509.0079999994</v>
      </c>
      <c r="C27" s="11">
        <f t="shared" si="22"/>
        <v>9258946.7109999992</v>
      </c>
      <c r="D27" s="11">
        <f t="shared" si="22"/>
        <v>7033706.8600000003</v>
      </c>
      <c r="E27" s="11">
        <f t="shared" si="22"/>
        <v>8611882.2860000003</v>
      </c>
      <c r="F27" s="11">
        <f t="shared" si="22"/>
        <v>5959969.7630000003</v>
      </c>
      <c r="G27" s="11">
        <f t="shared" si="22"/>
        <v>9283775.8269999996</v>
      </c>
      <c r="H27" s="11">
        <f t="shared" si="22"/>
        <v>5308806.4139999999</v>
      </c>
      <c r="I27" s="11">
        <f t="shared" si="22"/>
        <v>3762795.4850000003</v>
      </c>
      <c r="J27" s="11">
        <f t="shared" si="22"/>
        <v>2451378.7239999999</v>
      </c>
      <c r="L27" s="12">
        <f t="shared" ref="L27:T27" si="23">IFERROR(B27/B16,"")</f>
        <v>0.32518930822715203</v>
      </c>
      <c r="M27" s="12">
        <f t="shared" si="23"/>
        <v>0.34545693836365515</v>
      </c>
      <c r="N27" s="12">
        <f t="shared" si="23"/>
        <v>0.34547684637632825</v>
      </c>
      <c r="O27" s="12">
        <f t="shared" si="23"/>
        <v>0.36187466210710151</v>
      </c>
      <c r="P27" s="12">
        <f t="shared" si="23"/>
        <v>0.36261579707798869</v>
      </c>
      <c r="Q27" s="12">
        <f t="shared" si="23"/>
        <v>0.5003738299124435</v>
      </c>
      <c r="R27" s="12">
        <f t="shared" si="23"/>
        <v>0.55166295287060585</v>
      </c>
      <c r="S27" s="12">
        <f t="shared" si="23"/>
        <v>0.67481571107479377</v>
      </c>
      <c r="T27" s="12">
        <f t="shared" si="23"/>
        <v>0.73799990969191887</v>
      </c>
    </row>
    <row r="28" spans="1:20" ht="15" customHeight="1" x14ac:dyDescent="0.2">
      <c r="A28" s="253" t="s">
        <v>37</v>
      </c>
      <c r="B28" s="253"/>
      <c r="C28" s="253"/>
      <c r="D28" s="253"/>
      <c r="E28" s="253"/>
      <c r="F28" s="253"/>
      <c r="G28" s="253"/>
      <c r="H28" s="253"/>
      <c r="I28" s="253"/>
      <c r="J28" s="253"/>
    </row>
    <row r="29" spans="1:20" ht="15" customHeight="1" x14ac:dyDescent="0.2">
      <c r="A29" s="8" t="s">
        <v>38</v>
      </c>
      <c r="B29" s="9">
        <v>277500</v>
      </c>
      <c r="C29" s="9">
        <v>277500</v>
      </c>
      <c r="D29" s="9">
        <v>277500</v>
      </c>
      <c r="E29" s="9">
        <v>277500</v>
      </c>
      <c r="F29" s="9">
        <v>277500</v>
      </c>
      <c r="G29" s="9">
        <v>277500</v>
      </c>
      <c r="H29" s="9">
        <v>277500</v>
      </c>
      <c r="I29" s="9">
        <v>277500</v>
      </c>
      <c r="J29" s="9">
        <v>277500</v>
      </c>
      <c r="L29" s="10">
        <f t="shared" ref="L29:T29" si="24">IFERROR(B29/B16,"")</f>
        <v>1.0345650884426658E-2</v>
      </c>
      <c r="M29" s="10">
        <f t="shared" si="24"/>
        <v>1.0353693933892467E-2</v>
      </c>
      <c r="N29" s="10">
        <f t="shared" si="24"/>
        <v>1.3630056921284758E-2</v>
      </c>
      <c r="O29" s="10">
        <f t="shared" si="24"/>
        <v>1.166065854127731E-2</v>
      </c>
      <c r="P29" s="10">
        <f t="shared" si="24"/>
        <v>1.6883623187794662E-2</v>
      </c>
      <c r="Q29" s="10">
        <f t="shared" si="24"/>
        <v>1.4956601752152916E-2</v>
      </c>
      <c r="R29" s="10">
        <f t="shared" si="24"/>
        <v>2.8836325434260433E-2</v>
      </c>
      <c r="S29" s="10">
        <f t="shared" si="24"/>
        <v>4.9766552705230338E-2</v>
      </c>
      <c r="T29" s="10">
        <f t="shared" si="24"/>
        <v>8.354277245473371E-2</v>
      </c>
    </row>
    <row r="30" spans="1:20" ht="15" customHeight="1" x14ac:dyDescent="0.2">
      <c r="A30" s="8" t="s">
        <v>811</v>
      </c>
      <c r="B30" s="9">
        <v>5226559.5369999995</v>
      </c>
      <c r="C30" s="9">
        <v>5226559.5369999995</v>
      </c>
      <c r="D30" s="9">
        <v>3927528.3670000001</v>
      </c>
      <c r="E30" s="9">
        <v>3927528.3670000001</v>
      </c>
      <c r="F30" s="9">
        <v>2634997.679</v>
      </c>
      <c r="G30" s="9">
        <v>2634997.679</v>
      </c>
      <c r="H30" s="9">
        <v>0</v>
      </c>
      <c r="I30" s="9">
        <v>0</v>
      </c>
      <c r="J30" s="9">
        <v>0</v>
      </c>
      <c r="L30" s="10">
        <f t="shared" ref="L30:T30" si="25">IFERROR(B30/B16,"")</f>
        <v>0.19485463169900047</v>
      </c>
      <c r="M30" s="10">
        <f t="shared" si="25"/>
        <v>0.19500611810221521</v>
      </c>
      <c r="N30" s="10">
        <f t="shared" si="25"/>
        <v>0.1929096764042183</v>
      </c>
      <c r="O30" s="10">
        <f t="shared" si="25"/>
        <v>0.16503627819375666</v>
      </c>
      <c r="P30" s="10">
        <f t="shared" si="25"/>
        <v>0.1603182267133316</v>
      </c>
      <c r="Q30" s="10">
        <f t="shared" si="25"/>
        <v>0.14202021946900997</v>
      </c>
      <c r="R30" s="10">
        <f t="shared" si="25"/>
        <v>0</v>
      </c>
      <c r="S30" s="10">
        <f t="shared" si="25"/>
        <v>0</v>
      </c>
      <c r="T30" s="10">
        <f t="shared" si="25"/>
        <v>0</v>
      </c>
    </row>
    <row r="31" spans="1:20" ht="15" customHeight="1" x14ac:dyDescent="0.2">
      <c r="A31" s="8" t="s">
        <v>847</v>
      </c>
      <c r="B31" s="9">
        <v>5542841.0549999997</v>
      </c>
      <c r="C31" s="9">
        <v>4696455.0609999998</v>
      </c>
      <c r="D31" s="9">
        <v>3586000.7450000001</v>
      </c>
      <c r="E31" s="9">
        <v>4878665.0060000001</v>
      </c>
      <c r="F31" s="9">
        <v>3714098.821</v>
      </c>
      <c r="G31" s="9">
        <v>3184215.39</v>
      </c>
      <c r="H31" s="9">
        <v>2524269.0460000001</v>
      </c>
      <c r="I31" s="9">
        <v>1566313.5209999999</v>
      </c>
      <c r="J31" s="9">
        <v>735003.06799999997</v>
      </c>
      <c r="L31" s="10">
        <f t="shared" ref="L31:T31" si="26">IFERROR(B31/B16,"")</f>
        <v>0.2066461205870167</v>
      </c>
      <c r="M31" s="10">
        <f t="shared" si="26"/>
        <v>0.17522759739053795</v>
      </c>
      <c r="N31" s="10">
        <f t="shared" si="26"/>
        <v>0.17613475414097135</v>
      </c>
      <c r="O31" s="10">
        <f t="shared" si="26"/>
        <v>0.20500341179187251</v>
      </c>
      <c r="P31" s="10">
        <f t="shared" si="26"/>
        <v>0.2259727746882754</v>
      </c>
      <c r="Q31" s="10">
        <f t="shared" si="26"/>
        <v>0.17162177110380641</v>
      </c>
      <c r="R31" s="10">
        <f t="shared" si="26"/>
        <v>0.26230862592463466</v>
      </c>
      <c r="S31" s="10">
        <f t="shared" si="26"/>
        <v>0.28090098881355458</v>
      </c>
      <c r="T31" s="10">
        <f t="shared" si="26"/>
        <v>0.22127637500344205</v>
      </c>
    </row>
    <row r="32" spans="1:20" ht="15" customHeight="1" x14ac:dyDescent="0.2">
      <c r="A32" s="8" t="s">
        <v>41</v>
      </c>
      <c r="B32" s="9">
        <v>7053455.6890000002</v>
      </c>
      <c r="C32" s="9">
        <v>7342567.2010000004</v>
      </c>
      <c r="D32" s="9">
        <v>5534680.1040000003</v>
      </c>
      <c r="E32" s="9">
        <v>6102394.1569999997</v>
      </c>
      <c r="F32" s="9">
        <v>3849479.301</v>
      </c>
      <c r="G32" s="9">
        <v>3173190.9169999999</v>
      </c>
      <c r="H32" s="9">
        <v>1512703.3670000001</v>
      </c>
      <c r="I32" s="9">
        <v>-30574.804</v>
      </c>
      <c r="J32" s="9">
        <v>-142229.99799999999</v>
      </c>
      <c r="L32" s="10">
        <f t="shared" ref="L32:T32" si="27">IFERROR(B32/B16,"")</f>
        <v>0.26296428860240395</v>
      </c>
      <c r="M32" s="10">
        <f t="shared" si="27"/>
        <v>0.27395565220969909</v>
      </c>
      <c r="N32" s="10">
        <f t="shared" si="27"/>
        <v>0.27184866615719733</v>
      </c>
      <c r="O32" s="10">
        <f t="shared" si="27"/>
        <v>0.25642498936599206</v>
      </c>
      <c r="P32" s="10">
        <f t="shared" si="27"/>
        <v>0.23420957833260969</v>
      </c>
      <c r="Q32" s="10">
        <f t="shared" si="27"/>
        <v>0.17102757776258709</v>
      </c>
      <c r="R32" s="10">
        <f t="shared" si="27"/>
        <v>0.15719209577049909</v>
      </c>
      <c r="S32" s="10">
        <f t="shared" si="27"/>
        <v>-5.4832525935786932E-3</v>
      </c>
      <c r="T32" s="10">
        <f t="shared" si="27"/>
        <v>-4.2819057150094521E-2</v>
      </c>
    </row>
    <row r="33" spans="1:20" ht="15" customHeight="1" x14ac:dyDescent="0.2">
      <c r="A33" s="6" t="s">
        <v>42</v>
      </c>
      <c r="B33" s="11">
        <f t="shared" ref="B33:J33" si="28">SUM(B29:B32)</f>
        <v>18100356.280999999</v>
      </c>
      <c r="C33" s="11">
        <f t="shared" si="28"/>
        <v>17543081.798999999</v>
      </c>
      <c r="D33" s="11">
        <f t="shared" si="28"/>
        <v>13325709.216000002</v>
      </c>
      <c r="E33" s="11">
        <f t="shared" si="28"/>
        <v>15186087.529999999</v>
      </c>
      <c r="F33" s="11">
        <f t="shared" si="28"/>
        <v>10476075.800999999</v>
      </c>
      <c r="G33" s="11">
        <f t="shared" si="28"/>
        <v>9269903.9859999996</v>
      </c>
      <c r="H33" s="11">
        <f t="shared" si="28"/>
        <v>4314472.4130000006</v>
      </c>
      <c r="I33" s="11">
        <f t="shared" si="28"/>
        <v>1813238.7169999999</v>
      </c>
      <c r="J33" s="11">
        <f t="shared" si="28"/>
        <v>870273.07</v>
      </c>
      <c r="L33" s="12">
        <f t="shared" ref="L33:T33" si="29">IFERROR(B33/B16,"")</f>
        <v>0.6748106917728478</v>
      </c>
      <c r="M33" s="12">
        <f t="shared" si="29"/>
        <v>0.65454306163634468</v>
      </c>
      <c r="N33" s="12">
        <f t="shared" si="29"/>
        <v>0.65452315362367175</v>
      </c>
      <c r="O33" s="12">
        <f t="shared" si="29"/>
        <v>0.63812533789289849</v>
      </c>
      <c r="P33" s="12">
        <f t="shared" si="29"/>
        <v>0.63738420292201126</v>
      </c>
      <c r="Q33" s="12">
        <f t="shared" si="29"/>
        <v>0.49962617008755639</v>
      </c>
      <c r="R33" s="12">
        <f t="shared" si="29"/>
        <v>0.44833704712939426</v>
      </c>
      <c r="S33" s="12">
        <f t="shared" si="29"/>
        <v>0.32518428892520623</v>
      </c>
      <c r="T33" s="12">
        <f t="shared" si="29"/>
        <v>0.26200009030808125</v>
      </c>
    </row>
    <row r="34" spans="1:20" ht="15" customHeight="1" x14ac:dyDescent="0.2">
      <c r="A34" s="6" t="s">
        <v>43</v>
      </c>
      <c r="B34" s="11">
        <f t="shared" ref="B34:J34" si="30">B27+B33</f>
        <v>26822865.288999997</v>
      </c>
      <c r="C34" s="11">
        <f t="shared" si="30"/>
        <v>26802028.509999998</v>
      </c>
      <c r="D34" s="11">
        <f t="shared" si="30"/>
        <v>20359416.076000001</v>
      </c>
      <c r="E34" s="11">
        <f t="shared" si="30"/>
        <v>23797969.816</v>
      </c>
      <c r="F34" s="11">
        <f t="shared" si="30"/>
        <v>16436045.563999999</v>
      </c>
      <c r="G34" s="11">
        <f t="shared" si="30"/>
        <v>18553679.813000001</v>
      </c>
      <c r="H34" s="11">
        <f t="shared" si="30"/>
        <v>9623278.8269999996</v>
      </c>
      <c r="I34" s="11">
        <f t="shared" si="30"/>
        <v>5576034.2020000005</v>
      </c>
      <c r="J34" s="11">
        <f t="shared" si="30"/>
        <v>3321651.7939999998</v>
      </c>
      <c r="L34" s="12">
        <f t="shared" ref="L34:T34" si="31">IFERROR(B34/B16,"")</f>
        <v>0.99999999999999967</v>
      </c>
      <c r="M34" s="12">
        <f t="shared" si="31"/>
        <v>0.99999999999999989</v>
      </c>
      <c r="N34" s="12">
        <f t="shared" si="31"/>
        <v>1</v>
      </c>
      <c r="O34" s="12">
        <f t="shared" si="31"/>
        <v>1</v>
      </c>
      <c r="P34" s="12">
        <f t="shared" si="31"/>
        <v>1</v>
      </c>
      <c r="Q34" s="12">
        <f t="shared" si="31"/>
        <v>1</v>
      </c>
      <c r="R34" s="12">
        <f t="shared" si="31"/>
        <v>1</v>
      </c>
      <c r="S34" s="12">
        <f t="shared" si="31"/>
        <v>1</v>
      </c>
      <c r="T34" s="12">
        <f t="shared" si="31"/>
        <v>1</v>
      </c>
    </row>
    <row r="39" spans="1:20" ht="18" customHeight="1" x14ac:dyDescent="0.2">
      <c r="L39" s="263" t="s">
        <v>44</v>
      </c>
      <c r="M39" s="263"/>
      <c r="N39" s="263"/>
      <c r="O39" s="263"/>
      <c r="P39" s="263"/>
      <c r="Q39" s="263"/>
      <c r="R39" s="263"/>
      <c r="S39" s="263"/>
      <c r="T39" s="263"/>
    </row>
    <row r="40" spans="1:20" ht="21.75" customHeight="1" x14ac:dyDescent="0.2">
      <c r="K40" s="249" t="s">
        <v>45</v>
      </c>
      <c r="L40" s="7" t="s">
        <v>46</v>
      </c>
      <c r="M40" s="7" t="s">
        <v>47</v>
      </c>
      <c r="N40" s="7" t="s">
        <v>48</v>
      </c>
      <c r="O40" s="7" t="s">
        <v>49</v>
      </c>
      <c r="P40" s="7" t="s">
        <v>50</v>
      </c>
    </row>
    <row r="41" spans="1:20" ht="15" customHeight="1" x14ac:dyDescent="0.2">
      <c r="K41" s="8" t="s">
        <v>51</v>
      </c>
      <c r="L41" s="10">
        <f>IFERROR((B5-C5)/ABS(C5),"-")</f>
        <v>-0.49606689336807014</v>
      </c>
      <c r="M41" s="10">
        <f>IFERROR((D5-E5)/ABS(E5),"-")</f>
        <v>1.0595918066823291E-2</v>
      </c>
      <c r="N41" s="10">
        <f>IFERROR((F5-G5)/ABS(G5),"-")</f>
        <v>-0.89185163665128375</v>
      </c>
      <c r="O41" s="10">
        <f t="shared" ref="O41:P45" si="32">IFERROR((H5-I5)/ABS(I5),"-")</f>
        <v>7.2013413767736516</v>
      </c>
      <c r="P41" s="10">
        <f t="shared" si="32"/>
        <v>2.4079782354175654</v>
      </c>
    </row>
    <row r="42" spans="1:20" ht="15" customHeight="1" x14ac:dyDescent="0.2">
      <c r="K42" s="8" t="s">
        <v>903</v>
      </c>
      <c r="L42" s="10">
        <f>IFERROR((B6-C6)/ABS(C6),"-")</f>
        <v>-1</v>
      </c>
      <c r="M42" s="10">
        <f>IFERROR((D6-E6)/ABS(E6),"-")</f>
        <v>-0.26654966101084104</v>
      </c>
      <c r="N42" s="10">
        <f>IFERROR((F6-G6)/ABS(G6),"-")</f>
        <v>8.3307342182069644E-2</v>
      </c>
      <c r="O42" s="10">
        <f t="shared" si="32"/>
        <v>0.74129020211812724</v>
      </c>
      <c r="P42" s="10">
        <f t="shared" si="32"/>
        <v>0.78676433042569016</v>
      </c>
    </row>
    <row r="43" spans="1:20" ht="15" customHeight="1" x14ac:dyDescent="0.2">
      <c r="K43" s="8" t="s">
        <v>53</v>
      </c>
      <c r="L43" s="10">
        <f>IFERROR((B7-C7)/ABS(C7),"-")</f>
        <v>-0.17656375483243539</v>
      </c>
      <c r="M43" s="10">
        <f>IFERROR((D7-E7)/ABS(E7),"-")</f>
        <v>0.77825729734053861</v>
      </c>
      <c r="N43" s="10">
        <f>IFERROR((F7-G7)/ABS(G7),"-")</f>
        <v>-0.64027040163265436</v>
      </c>
      <c r="O43" s="10">
        <f t="shared" si="32"/>
        <v>0.61501765518088036</v>
      </c>
      <c r="P43" s="10">
        <f t="shared" si="32"/>
        <v>3.8429937400943412</v>
      </c>
    </row>
    <row r="44" spans="1:20" ht="15" customHeight="1" x14ac:dyDescent="0.2">
      <c r="K44" s="8" t="s">
        <v>55</v>
      </c>
      <c r="L44" s="10">
        <f>IFERROR((B8-C8)/ABS(C8),"-")</f>
        <v>-0.39178551136378337</v>
      </c>
      <c r="M44" s="10">
        <f>IFERROR((D8-E8)/ABS(E8),"-")</f>
        <v>-0.54828118138442017</v>
      </c>
      <c r="N44" s="10">
        <f>IFERROR((F8-G8)/ABS(G8),"-")</f>
        <v>-4.6658813203473704E-3</v>
      </c>
      <c r="O44" s="10">
        <f t="shared" si="32"/>
        <v>3.4389810088004142</v>
      </c>
      <c r="P44" s="10">
        <f t="shared" si="32"/>
        <v>2.7277431373522258</v>
      </c>
    </row>
    <row r="45" spans="1:20" ht="15" customHeight="1" x14ac:dyDescent="0.2">
      <c r="K45" s="8" t="s">
        <v>56</v>
      </c>
      <c r="L45" s="10">
        <f>IFERROR((B9-C9)/ABS(C9),"-")</f>
        <v>-0.40830348068127381</v>
      </c>
      <c r="M45" s="10">
        <f>IFERROR((D9-E9)/ABS(E9),"-")</f>
        <v>-0.23593536230140336</v>
      </c>
      <c r="N45" s="10">
        <f>IFERROR((F9-G9)/ABS(G9),"-")</f>
        <v>-0.6383921025249164</v>
      </c>
      <c r="O45" s="10">
        <f t="shared" si="32"/>
        <v>3.4088951452774836</v>
      </c>
      <c r="P45" s="10">
        <f t="shared" si="32"/>
        <v>2.5903425804543589</v>
      </c>
    </row>
    <row r="46" spans="1:20" ht="15" customHeight="1" x14ac:dyDescent="0.2">
      <c r="K46" s="8" t="s">
        <v>57</v>
      </c>
      <c r="L46" s="10">
        <f>IFERROR((B11-C11)/ABS(C11),"-")</f>
        <v>-8.8924283875217048E-3</v>
      </c>
      <c r="M46" s="10">
        <f>IFERROR((D11-E11)/ABS(E11),"-")</f>
        <v>-0.16902074705755807</v>
      </c>
      <c r="N46" s="10">
        <f>IFERROR((F11-G11)/ABS(G11),"-")</f>
        <v>2.8779972644853893E-2</v>
      </c>
      <c r="O46" s="10">
        <f t="shared" ref="O46:P49" si="33">IFERROR((H11-I11)/ABS(I11),"-")</f>
        <v>0.33376088637290591</v>
      </c>
      <c r="P46" s="10">
        <f t="shared" si="33"/>
        <v>0.48620628178137576</v>
      </c>
    </row>
    <row r="47" spans="1:20" ht="15" customHeight="1" x14ac:dyDescent="0.2">
      <c r="K47" s="8" t="s">
        <v>58</v>
      </c>
      <c r="L47" s="10">
        <f>IFERROR((B12-C12)/ABS(C12),"-")</f>
        <v>-0.97465039605128445</v>
      </c>
      <c r="M47" s="10">
        <f>IFERROR((D12-E12)/ABS(E12),"-")</f>
        <v>-4.6663900426860035E-2</v>
      </c>
      <c r="N47" s="10">
        <f>IFERROR((F12-G12)/ABS(G12),"-")</f>
        <v>-0.7237306702414712</v>
      </c>
      <c r="O47" s="10">
        <f t="shared" si="33"/>
        <v>-5.1809344841300599E-2</v>
      </c>
      <c r="P47" s="10">
        <f t="shared" si="33"/>
        <v>2.3851195695889522E-2</v>
      </c>
    </row>
    <row r="48" spans="1:20" ht="15" customHeight="1" x14ac:dyDescent="0.2">
      <c r="K48" s="8" t="s">
        <v>59</v>
      </c>
      <c r="L48" s="10">
        <f>IFERROR((B13-C13)/ABS(C13),"-")</f>
        <v>0.27382142130551912</v>
      </c>
      <c r="M48" s="10">
        <f>IFERROR((D13-E13)/ABS(E13),"-")</f>
        <v>4.4976080364728249E-2</v>
      </c>
      <c r="N48" s="10">
        <f>IFERROR((F13-G13)/ABS(G13),"-")</f>
        <v>0.65691570040793557</v>
      </c>
      <c r="O48" s="10">
        <f t="shared" si="33"/>
        <v>0.25867273063586327</v>
      </c>
      <c r="P48" s="10">
        <f t="shared" si="33"/>
        <v>1.1830513371809919</v>
      </c>
    </row>
    <row r="49" spans="11:16" ht="15" customHeight="1" x14ac:dyDescent="0.2">
      <c r="K49" s="8" t="s">
        <v>60</v>
      </c>
      <c r="L49" s="10">
        <f>IFERROR((B14-C14)/ABS(C14),"-")</f>
        <v>4.8016543296735083E-2</v>
      </c>
      <c r="M49" s="10">
        <f>IFERROR((D14-E14)/ABS(E14),"-")</f>
        <v>-0.13242202016055044</v>
      </c>
      <c r="N49" s="10">
        <f>IFERROR((F14-G14)/ABS(G14),"-")</f>
        <v>9.6280018666281733E-2</v>
      </c>
      <c r="O49" s="10">
        <f t="shared" si="33"/>
        <v>0.32158930647670786</v>
      </c>
      <c r="P49" s="10">
        <f t="shared" si="33"/>
        <v>0.55402985597548671</v>
      </c>
    </row>
    <row r="50" spans="11:16" ht="15" customHeight="1" x14ac:dyDescent="0.2">
      <c r="K50" s="8" t="s">
        <v>61</v>
      </c>
      <c r="L50" s="10">
        <f>IFERROR((B16-C16)/ABS(C16),"-")</f>
        <v>7.7743290931238883E-4</v>
      </c>
      <c r="M50" s="10">
        <f>IFERROR((D16-E16)/ABS(E16),"-")</f>
        <v>-0.14448937310980908</v>
      </c>
      <c r="N50" s="10">
        <f>IFERROR((F16-G16)/ABS(G16),"-")</f>
        <v>-0.11413553916761243</v>
      </c>
      <c r="O50" s="10">
        <f>IFERROR((H16-I16)/ABS(I16),"-")</f>
        <v>0.72582851510278423</v>
      </c>
      <c r="P50" s="10">
        <f>IFERROR((I16-J16)/ABS(J16),"-")</f>
        <v>0.67869317671170715</v>
      </c>
    </row>
    <row r="51" spans="11:16" ht="15" customHeight="1" x14ac:dyDescent="0.2">
      <c r="K51" s="8" t="s">
        <v>62</v>
      </c>
      <c r="L51" s="10">
        <f>IFERROR((B19-C19)/ABS(C19),"-")</f>
        <v>0.16535379802873412</v>
      </c>
      <c r="M51" s="10">
        <f>IFERROR((D19-E19)/ABS(E19),"-")</f>
        <v>-0.33548590892881569</v>
      </c>
      <c r="N51" s="10">
        <f>IFERROR((F19-G19)/ABS(G19),"-")</f>
        <v>-0.15859019155736678</v>
      </c>
      <c r="O51" s="10">
        <f>IFERROR((H19-I19)/ABS(I19),"-")</f>
        <v>-1.7781182497299149E-2</v>
      </c>
      <c r="P51" s="10">
        <f>IFERROR((I19-J19)/ABS(J19),"-")</f>
        <v>0.95774863264160826</v>
      </c>
    </row>
    <row r="52" spans="11:16" ht="15" customHeight="1" x14ac:dyDescent="0.2">
      <c r="K52" s="8" t="s">
        <v>63</v>
      </c>
      <c r="L52" s="10">
        <f>IFERROR((B20-C20)/ABS(C20),"-")</f>
        <v>-0.41640827279278941</v>
      </c>
      <c r="M52" s="10">
        <f>IFERROR((D20-E20)/ABS(E20),"-")</f>
        <v>1.0991110775407438</v>
      </c>
      <c r="N52" s="10">
        <f>IFERROR((F20-G20)/ABS(G20),"-")</f>
        <v>-0.77628688074425001</v>
      </c>
      <c r="O52" s="10">
        <f>IFERROR((H20-I20)/ABS(I20),"-")</f>
        <v>2.2756063135658833</v>
      </c>
      <c r="P52" s="10">
        <f>IFERROR((I20-J20)/ABS(J20),"-")</f>
        <v>3.017095262747524</v>
      </c>
    </row>
    <row r="53" spans="11:16" ht="15" customHeight="1" x14ac:dyDescent="0.2">
      <c r="K53" s="8" t="s">
        <v>64</v>
      </c>
      <c r="L53" s="10">
        <f>IFERROR((B22-C22)/ABS(C22),"-")</f>
        <v>-7.2026777583826286E-3</v>
      </c>
      <c r="M53" s="10">
        <f>IFERROR((D22-E22)/ABS(E22),"-")</f>
        <v>-0.12212881870401665</v>
      </c>
      <c r="N53" s="10">
        <f>IFERROR((F22-G22)/ABS(G22),"-")</f>
        <v>-0.5538030748416265</v>
      </c>
      <c r="O53" s="10">
        <f>IFERROR((H22-I22)/ABS(I22),"-")</f>
        <v>0.87280737100438222</v>
      </c>
      <c r="P53" s="10">
        <f>IFERROR((I22-J22)/ABS(J22),"-")</f>
        <v>0.99135018612503423</v>
      </c>
    </row>
    <row r="54" spans="11:16" ht="15" customHeight="1" x14ac:dyDescent="0.2">
      <c r="K54" s="8" t="s">
        <v>65</v>
      </c>
      <c r="L54" s="10">
        <f>IFERROR((B24-C24)/ABS(C24),"-")</f>
        <v>-0.12731429559761856</v>
      </c>
      <c r="M54" s="10">
        <f>IFERROR((D24-E24)/ABS(E24),"-")</f>
        <v>-0.21845704001091212</v>
      </c>
      <c r="N54" s="10">
        <f>IFERROR((F24-G24)/ABS(G24),"-")</f>
        <v>-0.17191983569201882</v>
      </c>
      <c r="O54" s="10">
        <f>IFERROR((H24-I24)/ABS(I24),"-")</f>
        <v>0.17406570665484875</v>
      </c>
      <c r="P54" s="10">
        <f>IFERROR((I24-J24)/ABS(J24),"-")</f>
        <v>0.39187577472079393</v>
      </c>
    </row>
    <row r="55" spans="11:16" ht="15" customHeight="1" x14ac:dyDescent="0.2">
      <c r="K55" s="8" t="s">
        <v>66</v>
      </c>
      <c r="L55" s="10">
        <f>IFERROR((B26-C26)/ABS(C26),"-")</f>
        <v>-7.8727524870106619E-2</v>
      </c>
      <c r="M55" s="10">
        <f>IFERROR((D26-E26)/ABS(E26),"-")</f>
        <v>-0.20609077327286429</v>
      </c>
      <c r="N55" s="10">
        <f>IFERROR((F26-G26)/ABS(G26),"-")</f>
        <v>-0.23194333036952194</v>
      </c>
      <c r="O55" s="10">
        <f>IFERROR((H26-I26)/ABS(I26),"-")</f>
        <v>0.20021585099756639</v>
      </c>
      <c r="P55" s="10">
        <f>IFERROR((I26-J26)/ABS(J26),"-")</f>
        <v>0.38973034082244284</v>
      </c>
    </row>
    <row r="56" spans="11:16" ht="15" customHeight="1" x14ac:dyDescent="0.2">
      <c r="K56" s="8" t="s">
        <v>67</v>
      </c>
      <c r="L56" s="10">
        <f>IFERROR((B27-C27)/ABS(C27),"-")</f>
        <v>-5.7937227607400554E-2</v>
      </c>
      <c r="M56" s="10">
        <f>IFERROR((D27-E27)/ABS(E27),"-")</f>
        <v>-0.18325557335654458</v>
      </c>
      <c r="N56" s="10">
        <f>IFERROR((F27-G27)/ABS(G27),"-")</f>
        <v>-0.35802308521209403</v>
      </c>
      <c r="O56" s="10">
        <f>IFERROR((H27-I27)/ABS(I27),"-")</f>
        <v>0.41086764751446475</v>
      </c>
      <c r="P56" s="10">
        <f>IFERROR((I27-J27)/ABS(J27),"-")</f>
        <v>0.53497109531085274</v>
      </c>
    </row>
    <row r="57" spans="11:16" ht="15" customHeight="1" x14ac:dyDescent="0.2">
      <c r="K57" s="8" t="s">
        <v>68</v>
      </c>
      <c r="L57" s="10">
        <f>IFERROR((B29-C29)/ABS(C29),"-")</f>
        <v>0</v>
      </c>
      <c r="M57" s="10">
        <f>IFERROR((D29-E29)/ABS(E29),"-")</f>
        <v>0</v>
      </c>
      <c r="N57" s="10">
        <f>IFERROR((F29-G29)/ABS(G29),"-")</f>
        <v>0</v>
      </c>
      <c r="O57" s="10">
        <f>IFERROR((H29-I29)/ABS(I29),"-")</f>
        <v>0</v>
      </c>
      <c r="P57" s="10">
        <f>IFERROR((I29-J29)/ABS(J29),"-")</f>
        <v>0</v>
      </c>
    </row>
    <row r="58" spans="11:16" ht="15" customHeight="1" x14ac:dyDescent="0.2">
      <c r="K58" s="8" t="s">
        <v>69</v>
      </c>
      <c r="L58" s="10">
        <f>IFERROR((B30-C30)/ABS(C30),"-")</f>
        <v>0</v>
      </c>
      <c r="M58" s="10">
        <f>IFERROR((D30-E30)/ABS(E30),"-")</f>
        <v>0</v>
      </c>
      <c r="N58" s="10">
        <f>IFERROR((F30-G30)/ABS(G30),"-")</f>
        <v>0</v>
      </c>
      <c r="O58" s="10" t="str">
        <f>IFERROR((H30-I30)/ABS(I30),"-")</f>
        <v>-</v>
      </c>
      <c r="P58" s="10" t="str">
        <f>IFERROR((I30-J30)/ABS(J30),"-")</f>
        <v>-</v>
      </c>
    </row>
    <row r="59" spans="11:16" ht="15" customHeight="1" x14ac:dyDescent="0.2">
      <c r="K59" s="8" t="s">
        <v>70</v>
      </c>
      <c r="L59" s="10">
        <f>IFERROR((B33-C33)/ABS(C33),"-")</f>
        <v>3.1766053900048899E-2</v>
      </c>
      <c r="M59" s="10">
        <f>IFERROR((D33-E33)/ABS(E33),"-")</f>
        <v>-0.12250543863419952</v>
      </c>
      <c r="N59" s="10">
        <f>IFERROR((F33-G33)/ABS(G33),"-")</f>
        <v>0.13011696958475913</v>
      </c>
      <c r="O59" s="10">
        <f>IFERROR((H33-I33)/ABS(I33),"-")</f>
        <v>1.3794287936550831</v>
      </c>
      <c r="P59" s="10">
        <f>IFERROR((I33-J33)/ABS(J33),"-")</f>
        <v>1.0835284688287552</v>
      </c>
    </row>
    <row r="60" spans="11:16" ht="15" customHeight="1" x14ac:dyDescent="0.2">
      <c r="K60" s="8" t="s">
        <v>71</v>
      </c>
      <c r="L60" s="10">
        <f>IFERROR((B34-C34)/ABS(C34),"-")</f>
        <v>7.7743290931224995E-4</v>
      </c>
      <c r="M60" s="10">
        <f>IFERROR((D34-E34)/ABS(E34),"-")</f>
        <v>-0.14448937310980908</v>
      </c>
      <c r="N60" s="10">
        <f>IFERROR((F34-G34)/ABS(G34),"-")</f>
        <v>-0.11413553916761243</v>
      </c>
      <c r="O60" s="10">
        <f>IFERROR((H34-I34)/ABS(I34),"-")</f>
        <v>0.72582851510278423</v>
      </c>
      <c r="P60" s="10">
        <f>IFERROR((I34-J34)/ABS(J34),"-")</f>
        <v>0.67869317671170715</v>
      </c>
    </row>
  </sheetData>
  <mergeCells count="10">
    <mergeCell ref="A1:J1"/>
    <mergeCell ref="L1:T1"/>
    <mergeCell ref="A3:J3"/>
    <mergeCell ref="A4:J4"/>
    <mergeCell ref="A10:J10"/>
    <mergeCell ref="A17:J17"/>
    <mergeCell ref="A18:J18"/>
    <mergeCell ref="A23:J23"/>
    <mergeCell ref="A28:J28"/>
    <mergeCell ref="L39:T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4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8" customWidth="1"/>
    <col min="2" max="10" width="15" customWidth="1"/>
    <col min="11" max="11" width="28" customWidth="1"/>
    <col min="12" max="20" width="16" customWidth="1"/>
  </cols>
  <sheetData>
    <row r="1" spans="1:20" ht="21.75" customHeight="1" x14ac:dyDescent="0.2">
      <c r="A1" s="254" t="s">
        <v>904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73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74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8" t="s">
        <v>75</v>
      </c>
      <c r="B4" s="9">
        <v>7869154.7699999996</v>
      </c>
      <c r="C4" s="9">
        <v>8489498.4800000004</v>
      </c>
      <c r="D4" s="9">
        <v>6485864.0599999996</v>
      </c>
      <c r="E4" s="9">
        <v>7632131.4340000004</v>
      </c>
      <c r="F4" s="9">
        <v>5286186.7149999999</v>
      </c>
      <c r="G4" s="9">
        <v>11635021.905999999</v>
      </c>
      <c r="H4" s="9">
        <v>6790300.125</v>
      </c>
      <c r="I4" s="9">
        <v>1574520.2220000001</v>
      </c>
      <c r="J4" s="9">
        <v>568036.33499999996</v>
      </c>
      <c r="L4" s="10">
        <f t="shared" ref="L4:T4" si="0">IFERROR(B4/B4,"")</f>
        <v>1</v>
      </c>
      <c r="M4" s="10">
        <f t="shared" si="0"/>
        <v>1</v>
      </c>
      <c r="N4" s="10">
        <f t="shared" si="0"/>
        <v>1</v>
      </c>
      <c r="O4" s="10">
        <f t="shared" si="0"/>
        <v>1</v>
      </c>
      <c r="P4" s="10">
        <f t="shared" si="0"/>
        <v>1</v>
      </c>
      <c r="Q4" s="10">
        <f t="shared" si="0"/>
        <v>1</v>
      </c>
      <c r="R4" s="10">
        <f t="shared" si="0"/>
        <v>1</v>
      </c>
      <c r="S4" s="10">
        <f t="shared" si="0"/>
        <v>1</v>
      </c>
      <c r="T4" s="10">
        <f t="shared" si="0"/>
        <v>1</v>
      </c>
    </row>
    <row r="5" spans="1:20" ht="15" customHeight="1" x14ac:dyDescent="0.2">
      <c r="A5" s="8" t="s">
        <v>76</v>
      </c>
      <c r="B5" s="9">
        <v>-6317784.7110000001</v>
      </c>
      <c r="C5" s="9">
        <v>-6276436.659</v>
      </c>
      <c r="D5" s="9">
        <v>-4870674.2039999999</v>
      </c>
      <c r="E5" s="9">
        <v>-6122454.9699999997</v>
      </c>
      <c r="F5" s="9">
        <v>-4243379.03</v>
      </c>
      <c r="G5" s="9">
        <v>-7389811.2089999998</v>
      </c>
      <c r="H5" s="9">
        <v>-4219335.3669999996</v>
      </c>
      <c r="I5" s="9">
        <v>-1007260.3419999999</v>
      </c>
      <c r="J5" s="9">
        <v>-378733.58</v>
      </c>
      <c r="L5" s="10">
        <f t="shared" ref="L5:T5" si="1">IFERROR(B5/B4,"")</f>
        <v>-0.80285429574795364</v>
      </c>
      <c r="M5" s="10">
        <f t="shared" si="1"/>
        <v>-0.73931771986135031</v>
      </c>
      <c r="N5" s="10">
        <f t="shared" si="1"/>
        <v>-0.75096766736736076</v>
      </c>
      <c r="O5" s="10">
        <f t="shared" si="1"/>
        <v>-0.80219464548597541</v>
      </c>
      <c r="P5" s="10">
        <f t="shared" si="1"/>
        <v>-0.8027296913215447</v>
      </c>
      <c r="Q5" s="10">
        <f t="shared" si="1"/>
        <v>-0.63513513500040675</v>
      </c>
      <c r="R5" s="10">
        <f t="shared" si="1"/>
        <v>-0.62137685953903243</v>
      </c>
      <c r="S5" s="10">
        <f t="shared" si="1"/>
        <v>-0.63972524958780741</v>
      </c>
      <c r="T5" s="10">
        <f t="shared" si="1"/>
        <v>-0.66674182030978713</v>
      </c>
    </row>
    <row r="6" spans="1:20" ht="15" customHeight="1" x14ac:dyDescent="0.2">
      <c r="A6" s="6" t="s">
        <v>77</v>
      </c>
      <c r="B6" s="11">
        <f t="shared" ref="B6:J6" si="2">B4+B5</f>
        <v>1551370.0589999994</v>
      </c>
      <c r="C6" s="11">
        <f t="shared" si="2"/>
        <v>2213061.8210000005</v>
      </c>
      <c r="D6" s="11">
        <f t="shared" si="2"/>
        <v>1615189.8559999997</v>
      </c>
      <c r="E6" s="11">
        <f t="shared" si="2"/>
        <v>1509676.4640000006</v>
      </c>
      <c r="F6" s="11">
        <f t="shared" si="2"/>
        <v>1042807.6849999996</v>
      </c>
      <c r="G6" s="11">
        <f t="shared" si="2"/>
        <v>4245210.6969999997</v>
      </c>
      <c r="H6" s="11">
        <f t="shared" si="2"/>
        <v>2570964.7580000004</v>
      </c>
      <c r="I6" s="11">
        <f t="shared" si="2"/>
        <v>567259.88000000012</v>
      </c>
      <c r="J6" s="11">
        <f t="shared" si="2"/>
        <v>189302.75499999995</v>
      </c>
      <c r="L6" s="12">
        <f t="shared" ref="L6:T6" si="3">IFERROR(B6/B4,"")</f>
        <v>0.19714570425204631</v>
      </c>
      <c r="M6" s="12">
        <f t="shared" si="3"/>
        <v>0.26068228013864964</v>
      </c>
      <c r="N6" s="12">
        <f t="shared" si="3"/>
        <v>0.24903233263263921</v>
      </c>
      <c r="O6" s="12">
        <f t="shared" si="3"/>
        <v>0.19780535451402456</v>
      </c>
      <c r="P6" s="12">
        <f t="shared" si="3"/>
        <v>0.1972703086784553</v>
      </c>
      <c r="Q6" s="12">
        <f t="shared" si="3"/>
        <v>0.36486486499959325</v>
      </c>
      <c r="R6" s="12">
        <f t="shared" si="3"/>
        <v>0.37862314046096751</v>
      </c>
      <c r="S6" s="12">
        <f t="shared" si="3"/>
        <v>0.36027475041219259</v>
      </c>
      <c r="T6" s="12">
        <f t="shared" si="3"/>
        <v>0.33325817969021287</v>
      </c>
    </row>
    <row r="7" spans="1:20" ht="15" customHeight="1" x14ac:dyDescent="0.2">
      <c r="A7" s="8" t="s">
        <v>78</v>
      </c>
      <c r="B7" s="9">
        <v>-427444.397</v>
      </c>
      <c r="C7" s="9">
        <v>-369399.18800000002</v>
      </c>
      <c r="D7" s="9">
        <v>-282641.30800000002</v>
      </c>
      <c r="E7" s="9">
        <v>-337242.08600000001</v>
      </c>
      <c r="F7" s="9">
        <v>-230697.845</v>
      </c>
      <c r="G7" s="9">
        <v>-124551.412</v>
      </c>
      <c r="H7" s="9">
        <v>-68594.623000000007</v>
      </c>
      <c r="I7" s="9">
        <v>-32756.65</v>
      </c>
      <c r="J7" s="9">
        <v>-28335.692999999999</v>
      </c>
      <c r="L7" s="10">
        <f t="shared" ref="L7:T7" si="4">IFERROR(B7/B4,"")</f>
        <v>-5.4318971921809081E-2</v>
      </c>
      <c r="M7" s="10">
        <f t="shared" si="4"/>
        <v>-4.3512486499673653E-2</v>
      </c>
      <c r="N7" s="10">
        <f t="shared" si="4"/>
        <v>-4.3578049953763603E-2</v>
      </c>
      <c r="O7" s="10">
        <f t="shared" si="4"/>
        <v>-4.4187143384040416E-2</v>
      </c>
      <c r="P7" s="10">
        <f t="shared" si="4"/>
        <v>-4.3641637618545601E-2</v>
      </c>
      <c r="Q7" s="10">
        <f t="shared" si="4"/>
        <v>-1.0704871293432698E-2</v>
      </c>
      <c r="R7" s="10">
        <f t="shared" si="4"/>
        <v>-1.0101854371274938E-2</v>
      </c>
      <c r="S7" s="10">
        <f t="shared" si="4"/>
        <v>-2.0804210414262943E-2</v>
      </c>
      <c r="T7" s="10">
        <f t="shared" si="4"/>
        <v>-4.9883592393785869E-2</v>
      </c>
    </row>
    <row r="8" spans="1:20" ht="15" customHeight="1" x14ac:dyDescent="0.2">
      <c r="A8" s="8" t="s">
        <v>905</v>
      </c>
      <c r="B8" s="9">
        <v>113594.40399999999</v>
      </c>
      <c r="C8" s="9">
        <v>109446.069</v>
      </c>
      <c r="D8" s="9">
        <v>83615.342999999993</v>
      </c>
      <c r="E8" s="9">
        <v>565343.53200000001</v>
      </c>
      <c r="F8" s="9">
        <v>391569.70699999999</v>
      </c>
      <c r="G8" s="9">
        <v>1321674.0349999999</v>
      </c>
      <c r="H8" s="9">
        <v>794984.66599999997</v>
      </c>
      <c r="I8" s="9">
        <v>179608.31099999999</v>
      </c>
      <c r="J8" s="9">
        <v>100131.755</v>
      </c>
      <c r="L8" s="10">
        <f t="shared" ref="L8:T8" si="5">IFERROR(B8/B4,"")</f>
        <v>1.4435400919176482E-2</v>
      </c>
      <c r="M8" s="10">
        <f t="shared" si="5"/>
        <v>1.2891935755432281E-2</v>
      </c>
      <c r="N8" s="10">
        <f t="shared" si="5"/>
        <v>1.2891935789354179E-2</v>
      </c>
      <c r="O8" s="10">
        <f t="shared" si="5"/>
        <v>7.4074134714383899E-2</v>
      </c>
      <c r="P8" s="10">
        <f t="shared" si="5"/>
        <v>7.4074134742325312E-2</v>
      </c>
      <c r="Q8" s="10">
        <f t="shared" si="5"/>
        <v>0.11359446038674265</v>
      </c>
      <c r="R8" s="10">
        <f t="shared" si="5"/>
        <v>0.11707651375718831</v>
      </c>
      <c r="S8" s="10">
        <f t="shared" si="5"/>
        <v>0.11407177150881964</v>
      </c>
      <c r="T8" s="10">
        <f t="shared" si="5"/>
        <v>0.17627702460266034</v>
      </c>
    </row>
    <row r="9" spans="1:20" ht="15" customHeight="1" x14ac:dyDescent="0.2">
      <c r="A9" s="8" t="s">
        <v>906</v>
      </c>
      <c r="B9" s="9">
        <v>-107414.26700000001</v>
      </c>
      <c r="C9" s="9">
        <v>-266911.46399999998</v>
      </c>
      <c r="D9" s="9">
        <v>-203916.81299999999</v>
      </c>
      <c r="E9" s="9">
        <v>-741059.96100000001</v>
      </c>
      <c r="F9" s="9">
        <v>-513274.87699999998</v>
      </c>
      <c r="G9" s="9">
        <v>-1916752.23</v>
      </c>
      <c r="H9" s="9">
        <v>-1155178.3899999999</v>
      </c>
      <c r="I9" s="9">
        <v>-199035.693</v>
      </c>
      <c r="J9" s="9">
        <v>-67235.043999999994</v>
      </c>
      <c r="L9" s="10">
        <f t="shared" ref="L9:T9" si="6">IFERROR(B9/B4,"")</f>
        <v>-1.3650038681346207E-2</v>
      </c>
      <c r="M9" s="10">
        <f t="shared" si="6"/>
        <v>-3.1440192212626436E-2</v>
      </c>
      <c r="N9" s="10">
        <f t="shared" si="6"/>
        <v>-3.1440192257128498E-2</v>
      </c>
      <c r="O9" s="10">
        <f t="shared" si="6"/>
        <v>-9.7097379337400966E-2</v>
      </c>
      <c r="P9" s="10">
        <f t="shared" si="6"/>
        <v>-9.709737939137475E-2</v>
      </c>
      <c r="Q9" s="10">
        <f t="shared" si="6"/>
        <v>-0.16473989009092976</v>
      </c>
      <c r="R9" s="10">
        <f t="shared" si="6"/>
        <v>-0.17012184568204192</v>
      </c>
      <c r="S9" s="10">
        <f t="shared" si="6"/>
        <v>-0.12641037582050185</v>
      </c>
      <c r="T9" s="10">
        <f t="shared" si="6"/>
        <v>-0.11836398458559873</v>
      </c>
    </row>
    <row r="10" spans="1:20" ht="15" customHeight="1" x14ac:dyDescent="0.2">
      <c r="A10" s="8" t="s">
        <v>907</v>
      </c>
      <c r="B10" s="9">
        <v>249120.70300000001</v>
      </c>
      <c r="C10" s="9">
        <v>437959.70400000003</v>
      </c>
      <c r="D10" s="9">
        <v>334595.39600000001</v>
      </c>
      <c r="E10" s="9">
        <v>845600.97</v>
      </c>
      <c r="F10" s="9">
        <v>585682.34199999995</v>
      </c>
      <c r="G10" s="9">
        <v>205534.93900000001</v>
      </c>
      <c r="H10" s="9">
        <v>316931.61599999998</v>
      </c>
      <c r="I10" s="9">
        <v>189009.18400000001</v>
      </c>
      <c r="J10" s="9">
        <v>53732.836000000003</v>
      </c>
      <c r="L10" s="10">
        <f t="shared" ref="L10:T10" si="7">IFERROR(B10/B4,"")</f>
        <v>3.1657873085650344E-2</v>
      </c>
      <c r="M10" s="10">
        <f t="shared" si="7"/>
        <v>5.1588407139923298E-2</v>
      </c>
      <c r="N10" s="10">
        <f t="shared" si="7"/>
        <v>5.1588407173615666E-2</v>
      </c>
      <c r="O10" s="10">
        <f t="shared" si="7"/>
        <v>0.11079486475206317</v>
      </c>
      <c r="P10" s="10">
        <f t="shared" si="7"/>
        <v>0.11079486472509134</v>
      </c>
      <c r="Q10" s="10">
        <f t="shared" si="7"/>
        <v>1.7665195704875198E-2</v>
      </c>
      <c r="R10" s="10">
        <f t="shared" si="7"/>
        <v>4.6674169059648149E-2</v>
      </c>
      <c r="S10" s="10">
        <f t="shared" si="7"/>
        <v>0.12004239854088072</v>
      </c>
      <c r="T10" s="10">
        <f t="shared" si="7"/>
        <v>9.4594012194660057E-2</v>
      </c>
    </row>
    <row r="11" spans="1:20" ht="15" customHeight="1" x14ac:dyDescent="0.2">
      <c r="A11" s="6" t="s">
        <v>82</v>
      </c>
      <c r="B11" s="11">
        <f t="shared" ref="B11:J11" si="8">B6+B7+B8+B9+B10</f>
        <v>1379226.5019999996</v>
      </c>
      <c r="C11" s="11">
        <f t="shared" si="8"/>
        <v>2124156.9420000003</v>
      </c>
      <c r="D11" s="11">
        <f t="shared" si="8"/>
        <v>1546842.4739999997</v>
      </c>
      <c r="E11" s="11">
        <f t="shared" si="8"/>
        <v>1842318.9190000007</v>
      </c>
      <c r="F11" s="11">
        <f t="shared" si="8"/>
        <v>1276087.0119999996</v>
      </c>
      <c r="G11" s="11">
        <f t="shared" si="8"/>
        <v>3731116.0289999992</v>
      </c>
      <c r="H11" s="11">
        <f t="shared" si="8"/>
        <v>2459108.0270000002</v>
      </c>
      <c r="I11" s="11">
        <f t="shared" si="8"/>
        <v>704085.03200000012</v>
      </c>
      <c r="J11" s="11">
        <f t="shared" si="8"/>
        <v>247596.60899999997</v>
      </c>
      <c r="L11" s="12">
        <f t="shared" ref="L11:T11" si="9">IFERROR(B11/B4,"")</f>
        <v>0.17526996765371788</v>
      </c>
      <c r="M11" s="12">
        <f t="shared" si="9"/>
        <v>0.25020994432170512</v>
      </c>
      <c r="N11" s="12">
        <f t="shared" si="9"/>
        <v>0.23849443338471696</v>
      </c>
      <c r="O11" s="12">
        <f t="shared" si="9"/>
        <v>0.24138983125903027</v>
      </c>
      <c r="P11" s="12">
        <f t="shared" si="9"/>
        <v>0.2414002911359516</v>
      </c>
      <c r="Q11" s="12">
        <f t="shared" si="9"/>
        <v>0.32067975970684859</v>
      </c>
      <c r="R11" s="12">
        <f t="shared" si="9"/>
        <v>0.36215012322448709</v>
      </c>
      <c r="S11" s="12">
        <f t="shared" si="9"/>
        <v>0.44717433422712821</v>
      </c>
      <c r="T11" s="12">
        <f t="shared" si="9"/>
        <v>0.43588163950814868</v>
      </c>
    </row>
    <row r="12" spans="1:20" ht="15" customHeight="1" x14ac:dyDescent="0.2">
      <c r="A12" s="8" t="s">
        <v>83</v>
      </c>
      <c r="B12" s="9">
        <v>896589.24699999997</v>
      </c>
      <c r="C12" s="9">
        <v>898424.63100000005</v>
      </c>
      <c r="D12" s="9">
        <v>762361.83700000006</v>
      </c>
      <c r="E12" s="9">
        <v>737573.31900000002</v>
      </c>
      <c r="F12" s="9">
        <v>509135.79</v>
      </c>
      <c r="G12" s="9">
        <v>496559.27799999999</v>
      </c>
      <c r="H12" s="9">
        <v>183453.424</v>
      </c>
      <c r="I12" s="9">
        <v>119822.546</v>
      </c>
      <c r="J12" s="9">
        <v>86958.504000000001</v>
      </c>
      <c r="L12" s="10">
        <f t="shared" ref="L12:T12" si="10">IFERROR(B12/B4,"")</f>
        <v>0.11393717282294602</v>
      </c>
      <c r="M12" s="10">
        <f t="shared" si="10"/>
        <v>0.10582776274906643</v>
      </c>
      <c r="N12" s="10">
        <f t="shared" si="10"/>
        <v>0.1175420622368086</v>
      </c>
      <c r="O12" s="10">
        <f t="shared" si="10"/>
        <v>9.6640542079008435E-2</v>
      </c>
      <c r="P12" s="10">
        <f t="shared" si="10"/>
        <v>9.6314378861284702E-2</v>
      </c>
      <c r="Q12" s="10">
        <f t="shared" si="10"/>
        <v>4.2677983936062217E-2</v>
      </c>
      <c r="R12" s="10">
        <f t="shared" si="10"/>
        <v>2.7016983141080232E-2</v>
      </c>
      <c r="S12" s="10">
        <f t="shared" si="10"/>
        <v>7.610098893985498E-2</v>
      </c>
      <c r="T12" s="10">
        <f t="shared" si="10"/>
        <v>0.15308616481373502</v>
      </c>
    </row>
    <row r="13" spans="1:20" ht="15" customHeight="1" x14ac:dyDescent="0.2">
      <c r="A13" s="6" t="s">
        <v>84</v>
      </c>
      <c r="B13" s="11">
        <f t="shared" ref="B13:J13" si="11">B11+B12</f>
        <v>2275815.7489999998</v>
      </c>
      <c r="C13" s="11">
        <f t="shared" si="11"/>
        <v>3022581.5730000003</v>
      </c>
      <c r="D13" s="11">
        <f t="shared" si="11"/>
        <v>2309204.3109999998</v>
      </c>
      <c r="E13" s="11">
        <f t="shared" si="11"/>
        <v>2579892.2380000008</v>
      </c>
      <c r="F13" s="11">
        <f t="shared" si="11"/>
        <v>1785222.8019999997</v>
      </c>
      <c r="G13" s="11">
        <f t="shared" si="11"/>
        <v>4227675.3069999991</v>
      </c>
      <c r="H13" s="11">
        <f t="shared" si="11"/>
        <v>2642561.4510000004</v>
      </c>
      <c r="I13" s="11">
        <f t="shared" si="11"/>
        <v>823907.5780000001</v>
      </c>
      <c r="J13" s="11">
        <f t="shared" si="11"/>
        <v>334555.11299999995</v>
      </c>
      <c r="L13" s="12">
        <f t="shared" ref="L13:T13" si="12">IFERROR(B13/B4,"")</f>
        <v>0.2892071404766639</v>
      </c>
      <c r="M13" s="12">
        <f t="shared" si="12"/>
        <v>0.35603770707077154</v>
      </c>
      <c r="N13" s="12">
        <f t="shared" si="12"/>
        <v>0.35603649562152556</v>
      </c>
      <c r="O13" s="12">
        <f t="shared" si="12"/>
        <v>0.3380303733380387</v>
      </c>
      <c r="P13" s="12">
        <f t="shared" si="12"/>
        <v>0.33771466999723632</v>
      </c>
      <c r="Q13" s="12">
        <f t="shared" si="12"/>
        <v>0.36335774364291079</v>
      </c>
      <c r="R13" s="12">
        <f t="shared" si="12"/>
        <v>0.38916710636556734</v>
      </c>
      <c r="S13" s="12">
        <f t="shared" si="12"/>
        <v>0.52327532316698311</v>
      </c>
      <c r="T13" s="12">
        <f t="shared" si="12"/>
        <v>0.58896780432188367</v>
      </c>
    </row>
    <row r="14" spans="1:20" ht="15" customHeight="1" x14ac:dyDescent="0.2">
      <c r="A14" s="8" t="s">
        <v>908</v>
      </c>
      <c r="B14" s="9">
        <v>-765192.76699999999</v>
      </c>
      <c r="C14" s="9">
        <v>-300619.32</v>
      </c>
      <c r="D14" s="9">
        <v>-241329.20199999999</v>
      </c>
      <c r="E14" s="9">
        <v>616519.48499999999</v>
      </c>
      <c r="F14" s="9">
        <v>381625.96899999998</v>
      </c>
      <c r="G14" s="9">
        <v>800391.18799999997</v>
      </c>
      <c r="H14" s="9">
        <v>0</v>
      </c>
      <c r="I14" s="9">
        <v>0</v>
      </c>
      <c r="J14" s="9">
        <v>0</v>
      </c>
      <c r="L14" s="10">
        <f t="shared" ref="L14:T14" si="13">IFERROR(B14/B4,"")</f>
        <v>-9.7239511658505612E-2</v>
      </c>
      <c r="M14" s="10">
        <f t="shared" si="13"/>
        <v>-3.5410727819577867E-2</v>
      </c>
      <c r="N14" s="10">
        <f t="shared" si="13"/>
        <v>-3.7208489072156105E-2</v>
      </c>
      <c r="O14" s="10">
        <f t="shared" si="13"/>
        <v>8.0779463814459246E-2</v>
      </c>
      <c r="P14" s="10">
        <f t="shared" si="13"/>
        <v>7.2193055140694171E-2</v>
      </c>
      <c r="Q14" s="10">
        <f t="shared" si="13"/>
        <v>6.8791549725166462E-2</v>
      </c>
      <c r="R14" s="10">
        <f t="shared" si="13"/>
        <v>0</v>
      </c>
      <c r="S14" s="10">
        <f t="shared" si="13"/>
        <v>0</v>
      </c>
      <c r="T14" s="10">
        <f t="shared" si="13"/>
        <v>0</v>
      </c>
    </row>
    <row r="15" spans="1:20" ht="15" customHeight="1" x14ac:dyDescent="0.2">
      <c r="A15" s="8" t="s">
        <v>909</v>
      </c>
      <c r="B15" s="9">
        <v>186663.62700000001</v>
      </c>
      <c r="C15" s="9">
        <v>-23983.993999999999</v>
      </c>
      <c r="D15" s="9">
        <v>-18323.451000000001</v>
      </c>
      <c r="E15" s="9">
        <v>-684276.53300000005</v>
      </c>
      <c r="F15" s="9">
        <v>-484813.49</v>
      </c>
      <c r="G15" s="9">
        <v>-994461.30500000005</v>
      </c>
      <c r="H15" s="9">
        <v>-510091.67499999999</v>
      </c>
      <c r="I15" s="9">
        <v>-561508.90700000001</v>
      </c>
      <c r="J15" s="9">
        <v>-328915.18</v>
      </c>
      <c r="L15" s="10">
        <f t="shared" ref="L15:T15" si="14">IFERROR(B15/B4,"")</f>
        <v>2.3720924604460413E-2</v>
      </c>
      <c r="M15" s="10">
        <f t="shared" si="14"/>
        <v>-2.8251367329298347E-3</v>
      </c>
      <c r="N15" s="10">
        <f t="shared" si="14"/>
        <v>-2.8251364552959813E-3</v>
      </c>
      <c r="O15" s="10">
        <f t="shared" si="14"/>
        <v>-8.9657330840982472E-2</v>
      </c>
      <c r="P15" s="10">
        <f t="shared" si="14"/>
        <v>-9.1713273884991786E-2</v>
      </c>
      <c r="Q15" s="10">
        <f t="shared" si="14"/>
        <v>-8.5471373671172191E-2</v>
      </c>
      <c r="R15" s="10">
        <f t="shared" si="14"/>
        <v>-7.5120637616882951E-2</v>
      </c>
      <c r="S15" s="10">
        <f t="shared" si="14"/>
        <v>-0.35662222634826218</v>
      </c>
      <c r="T15" s="10">
        <f t="shared" si="14"/>
        <v>-0.57903897996243503</v>
      </c>
    </row>
    <row r="16" spans="1:20" ht="15" customHeight="1" x14ac:dyDescent="0.2">
      <c r="A16" s="6" t="s">
        <v>87</v>
      </c>
      <c r="B16" s="11">
        <f t="shared" ref="B16:J16" si="15">B11+B14+B15</f>
        <v>800697.36199999962</v>
      </c>
      <c r="C16" s="11">
        <f t="shared" si="15"/>
        <v>1799553.6280000003</v>
      </c>
      <c r="D16" s="11">
        <f t="shared" si="15"/>
        <v>1287189.8209999995</v>
      </c>
      <c r="E16" s="11">
        <f t="shared" si="15"/>
        <v>1774561.8710000005</v>
      </c>
      <c r="F16" s="11">
        <f t="shared" si="15"/>
        <v>1172899.4909999997</v>
      </c>
      <c r="G16" s="11">
        <f t="shared" si="15"/>
        <v>3537045.9119999991</v>
      </c>
      <c r="H16" s="11">
        <f t="shared" si="15"/>
        <v>1949016.3520000002</v>
      </c>
      <c r="I16" s="11">
        <f t="shared" si="15"/>
        <v>142576.12500000012</v>
      </c>
      <c r="J16" s="11">
        <f t="shared" si="15"/>
        <v>-81318.571000000025</v>
      </c>
      <c r="L16" s="12">
        <f t="shared" ref="L16:T16" si="16">IFERROR(B16/B4,"")</f>
        <v>0.10175138059967268</v>
      </c>
      <c r="M16" s="12">
        <f t="shared" si="16"/>
        <v>0.21197407976919741</v>
      </c>
      <c r="N16" s="12">
        <f t="shared" si="16"/>
        <v>0.19846080785726483</v>
      </c>
      <c r="O16" s="12">
        <f t="shared" si="16"/>
        <v>0.232511964232507</v>
      </c>
      <c r="P16" s="12">
        <f t="shared" si="16"/>
        <v>0.22188007239165403</v>
      </c>
      <c r="Q16" s="12">
        <f t="shared" si="16"/>
        <v>0.30399993576084283</v>
      </c>
      <c r="R16" s="12">
        <f t="shared" si="16"/>
        <v>0.28702948560760416</v>
      </c>
      <c r="S16" s="12">
        <f t="shared" si="16"/>
        <v>9.0552107878866042E-2</v>
      </c>
      <c r="T16" s="12">
        <f t="shared" si="16"/>
        <v>-0.1431573404542863</v>
      </c>
    </row>
    <row r="17" spans="1:20" ht="15" customHeight="1" x14ac:dyDescent="0.2">
      <c r="A17" s="8" t="s">
        <v>854</v>
      </c>
      <c r="B17" s="9">
        <v>-281702.75300000003</v>
      </c>
      <c r="C17" s="9">
        <v>-202072.717</v>
      </c>
      <c r="D17" s="9">
        <v>-154380.87100000001</v>
      </c>
      <c r="E17" s="9">
        <v>-326967.91600000003</v>
      </c>
      <c r="F17" s="9">
        <v>-226465.36799999999</v>
      </c>
      <c r="G17" s="9">
        <v>-359752.83600000001</v>
      </c>
      <c r="H17" s="9">
        <v>-209425.56400000001</v>
      </c>
      <c r="I17" s="9">
        <v>-17324.151000000002</v>
      </c>
      <c r="J17" s="9">
        <v>-17113.539000000001</v>
      </c>
      <c r="L17" s="10">
        <f t="shared" ref="L17:T17" si="17">IFERROR(B17/B4,"")</f>
        <v>-3.5798349534812882E-2</v>
      </c>
      <c r="M17" s="10">
        <f t="shared" si="17"/>
        <v>-2.3802668376236048E-2</v>
      </c>
      <c r="N17" s="10">
        <f t="shared" si="17"/>
        <v>-2.3802668321728598E-2</v>
      </c>
      <c r="O17" s="10">
        <f t="shared" si="17"/>
        <v>-4.2840970288248313E-2</v>
      </c>
      <c r="P17" s="10">
        <f t="shared" si="17"/>
        <v>-4.284097028910943E-2</v>
      </c>
      <c r="Q17" s="10">
        <f t="shared" si="17"/>
        <v>-3.0919824552670682E-2</v>
      </c>
      <c r="R17" s="10">
        <f t="shared" si="17"/>
        <v>-3.08418715144789E-2</v>
      </c>
      <c r="S17" s="10">
        <f t="shared" si="17"/>
        <v>-1.1002812639646111E-2</v>
      </c>
      <c r="T17" s="10">
        <f t="shared" si="17"/>
        <v>-3.0127542809387363E-2</v>
      </c>
    </row>
    <row r="18" spans="1:20" ht="15" customHeight="1" x14ac:dyDescent="0.2">
      <c r="A18" s="8" t="s">
        <v>855</v>
      </c>
      <c r="B18" s="9">
        <v>-235813.18599999999</v>
      </c>
      <c r="C18" s="9">
        <v>-489425.15899999999</v>
      </c>
      <c r="D18" s="9">
        <v>-344107.69099999999</v>
      </c>
      <c r="E18" s="9">
        <v>551124.76899999997</v>
      </c>
      <c r="F18" s="9">
        <v>395772.011</v>
      </c>
      <c r="G18" s="9">
        <v>-394735.88500000001</v>
      </c>
      <c r="H18" s="9">
        <v>-84460.301000000007</v>
      </c>
      <c r="I18" s="9">
        <v>4154.9340000000002</v>
      </c>
      <c r="J18" s="9">
        <v>-1323.502</v>
      </c>
      <c r="L18" s="10">
        <f t="shared" ref="L18:T18" si="18">IFERROR(B18/B4,"")</f>
        <v>-2.9966774436690866E-2</v>
      </c>
      <c r="M18" s="10">
        <f t="shared" si="18"/>
        <v>-5.7650656296483603E-2</v>
      </c>
      <c r="N18" s="10">
        <f t="shared" si="18"/>
        <v>-5.3055026719138483E-2</v>
      </c>
      <c r="O18" s="10">
        <f t="shared" si="18"/>
        <v>7.2211121331692718E-2</v>
      </c>
      <c r="P18" s="10">
        <f t="shared" si="18"/>
        <v>7.4869094176519269E-2</v>
      </c>
      <c r="Q18" s="10">
        <f t="shared" si="18"/>
        <v>-3.3926527013794519E-2</v>
      </c>
      <c r="R18" s="10">
        <f t="shared" si="18"/>
        <v>-1.2438375247809831E-2</v>
      </c>
      <c r="S18" s="10">
        <f t="shared" si="18"/>
        <v>2.6388571845220796E-3</v>
      </c>
      <c r="T18" s="10">
        <f t="shared" si="18"/>
        <v>-2.329960107217437E-3</v>
      </c>
    </row>
    <row r="19" spans="1:20" ht="15" customHeight="1" x14ac:dyDescent="0.2">
      <c r="A19" s="6" t="s">
        <v>91</v>
      </c>
      <c r="B19" s="11">
        <f t="shared" ref="B19:J19" si="19">B16+B17+B18</f>
        <v>283181.4229999996</v>
      </c>
      <c r="C19" s="11">
        <f t="shared" si="19"/>
        <v>1108055.7520000003</v>
      </c>
      <c r="D19" s="11">
        <f t="shared" si="19"/>
        <v>788701.2589999995</v>
      </c>
      <c r="E19" s="11">
        <f t="shared" si="19"/>
        <v>1998718.7240000004</v>
      </c>
      <c r="F19" s="11">
        <f t="shared" si="19"/>
        <v>1342206.1339999996</v>
      </c>
      <c r="G19" s="11">
        <f t="shared" si="19"/>
        <v>2782557.1909999987</v>
      </c>
      <c r="H19" s="11">
        <f t="shared" si="19"/>
        <v>1655130.4870000002</v>
      </c>
      <c r="I19" s="11">
        <f t="shared" si="19"/>
        <v>129406.90800000011</v>
      </c>
      <c r="J19" s="11">
        <f t="shared" si="19"/>
        <v>-99755.612000000023</v>
      </c>
      <c r="L19" s="12">
        <f t="shared" ref="L19:T19" si="20">IFERROR(B19/B4,"")</f>
        <v>3.5986256628168928E-2</v>
      </c>
      <c r="M19" s="12">
        <f t="shared" si="20"/>
        <v>0.13052075509647776</v>
      </c>
      <c r="N19" s="12">
        <f t="shared" si="20"/>
        <v>0.12160311281639775</v>
      </c>
      <c r="O19" s="12">
        <f t="shared" si="20"/>
        <v>0.2618821152759514</v>
      </c>
      <c r="P19" s="12">
        <f t="shared" si="20"/>
        <v>0.2539081962790638</v>
      </c>
      <c r="Q19" s="12">
        <f t="shared" si="20"/>
        <v>0.2391535841943776</v>
      </c>
      <c r="R19" s="12">
        <f t="shared" si="20"/>
        <v>0.24374923884531544</v>
      </c>
      <c r="S19" s="12">
        <f t="shared" si="20"/>
        <v>8.2188152423742014E-2</v>
      </c>
      <c r="T19" s="12">
        <f t="shared" si="20"/>
        <v>-0.17561484337089112</v>
      </c>
    </row>
    <row r="20" spans="1:20" ht="15" customHeight="1" x14ac:dyDescent="0.2">
      <c r="A20" s="8" t="s">
        <v>92</v>
      </c>
      <c r="B20" s="15">
        <f>IFERROR(B19/AYEN_BS!B29,0)</f>
        <v>1.0204735963963949</v>
      </c>
      <c r="C20" s="15">
        <f>IFERROR(C19/AYEN_BS!C29,0)</f>
        <v>3.992993700900902</v>
      </c>
      <c r="D20" s="15">
        <f>IFERROR(D19/AYEN_BS!D29,0)</f>
        <v>2.8421666990990975</v>
      </c>
      <c r="E20" s="15">
        <f>IFERROR(E19/AYEN_BS!E29,0)</f>
        <v>7.202589996396398</v>
      </c>
      <c r="F20" s="15">
        <f>IFERROR(F19/AYEN_BS!F29,0)</f>
        <v>4.8367788612612594</v>
      </c>
      <c r="G20" s="15">
        <f>IFERROR(G19/AYEN_BS!G29,0)</f>
        <v>10.027233120720716</v>
      </c>
      <c r="H20" s="15">
        <f>IFERROR(H19/AYEN_BS!H29,0)</f>
        <v>5.9644341873873881</v>
      </c>
      <c r="I20" s="15">
        <f>IFERROR(I19/AYEN_BS!I29,0)</f>
        <v>0.46633120000000039</v>
      </c>
      <c r="J20" s="15">
        <f>IFERROR(J19/AYEN_BS!J29,0)</f>
        <v>-0.35947968288288296</v>
      </c>
    </row>
    <row r="23" spans="1:20" ht="18" customHeight="1" x14ac:dyDescent="0.2">
      <c r="L23" s="263" t="s">
        <v>44</v>
      </c>
      <c r="M23" s="263"/>
      <c r="N23" s="263"/>
      <c r="O23" s="263"/>
      <c r="P23" s="263"/>
      <c r="Q23" s="263"/>
      <c r="R23" s="263"/>
      <c r="S23" s="263"/>
      <c r="T23" s="263"/>
    </row>
    <row r="24" spans="1:20" ht="21.75" customHeight="1" x14ac:dyDescent="0.2">
      <c r="K24" s="249" t="s">
        <v>45</v>
      </c>
      <c r="L24" s="7" t="s">
        <v>46</v>
      </c>
      <c r="M24" s="7" t="s">
        <v>47</v>
      </c>
      <c r="N24" s="7" t="s">
        <v>48</v>
      </c>
      <c r="O24" s="7" t="s">
        <v>49</v>
      </c>
      <c r="P24" s="7" t="s">
        <v>50</v>
      </c>
    </row>
    <row r="25" spans="1:20" ht="15" customHeight="1" x14ac:dyDescent="0.2">
      <c r="K25" s="8" t="s">
        <v>857</v>
      </c>
      <c r="L25" s="10">
        <f t="shared" ref="L25:L40" si="21">IFERROR((B4-C4)/ABS(C4),"-")</f>
        <v>-7.3071891285620541E-2</v>
      </c>
      <c r="M25" s="10">
        <f t="shared" ref="M25:M40" si="22">IFERROR((D4-E4)/ABS(E4),"-")</f>
        <v>-0.15018967950336279</v>
      </c>
      <c r="N25" s="10">
        <f t="shared" ref="N25:N40" si="23">IFERROR((F4-G4)/ABS(G4),"-")</f>
        <v>-0.54566594221245124</v>
      </c>
      <c r="O25" s="10">
        <f t="shared" ref="O25:O40" si="24">IFERROR((H4-I4)/ABS(I4),"-")</f>
        <v>3.3126153796708744</v>
      </c>
      <c r="P25" s="10">
        <f t="shared" ref="P25:P40" si="25">IFERROR((I4-J4)/ABS(J4),"-")</f>
        <v>1.7718653279459671</v>
      </c>
    </row>
    <row r="26" spans="1:20" ht="15" customHeight="1" x14ac:dyDescent="0.2">
      <c r="K26" s="8" t="s">
        <v>93</v>
      </c>
      <c r="L26" s="10">
        <f t="shared" si="21"/>
        <v>-6.5878227163672139E-3</v>
      </c>
      <c r="M26" s="10">
        <f t="shared" si="22"/>
        <v>0.20445732506547123</v>
      </c>
      <c r="N26" s="10">
        <f t="shared" si="23"/>
        <v>0.42577977840191394</v>
      </c>
      <c r="O26" s="10">
        <f t="shared" si="24"/>
        <v>-3.1889223580689725</v>
      </c>
      <c r="P26" s="10">
        <f t="shared" si="25"/>
        <v>-1.6595485459726065</v>
      </c>
    </row>
    <row r="27" spans="1:20" ht="15" customHeight="1" x14ac:dyDescent="0.2">
      <c r="K27" s="8" t="s">
        <v>94</v>
      </c>
      <c r="L27" s="10">
        <f t="shared" si="21"/>
        <v>-0.29899379932414499</v>
      </c>
      <c r="M27" s="10">
        <f t="shared" si="22"/>
        <v>6.9891393630416312E-2</v>
      </c>
      <c r="N27" s="10">
        <f t="shared" si="23"/>
        <v>-0.75435667168724285</v>
      </c>
      <c r="O27" s="10">
        <f t="shared" si="24"/>
        <v>3.5322520570289577</v>
      </c>
      <c r="P27" s="10">
        <f t="shared" si="25"/>
        <v>1.9965748781627626</v>
      </c>
    </row>
    <row r="28" spans="1:20" ht="15" customHeight="1" x14ac:dyDescent="0.2">
      <c r="K28" s="8" t="s">
        <v>95</v>
      </c>
      <c r="L28" s="10">
        <f t="shared" si="21"/>
        <v>-0.15713410014317619</v>
      </c>
      <c r="M28" s="10">
        <f t="shared" si="22"/>
        <v>0.16190380817416716</v>
      </c>
      <c r="N28" s="10">
        <f t="shared" si="23"/>
        <v>-0.85222986472445617</v>
      </c>
      <c r="O28" s="10">
        <f t="shared" si="24"/>
        <v>-1.0940670978259377</v>
      </c>
      <c r="P28" s="10">
        <f t="shared" si="25"/>
        <v>-0.15602078269269795</v>
      </c>
    </row>
    <row r="29" spans="1:20" ht="15" customHeight="1" x14ac:dyDescent="0.2">
      <c r="K29" s="8" t="s">
        <v>858</v>
      </c>
      <c r="L29" s="10">
        <f t="shared" si="21"/>
        <v>3.7903005908782268E-2</v>
      </c>
      <c r="M29" s="10">
        <f t="shared" si="22"/>
        <v>-0.8520981699318354</v>
      </c>
      <c r="N29" s="10">
        <f t="shared" si="23"/>
        <v>-0.7037320121069035</v>
      </c>
      <c r="O29" s="10">
        <f t="shared" si="24"/>
        <v>3.426213138878635</v>
      </c>
      <c r="P29" s="10">
        <f t="shared" si="25"/>
        <v>0.79371979448477636</v>
      </c>
    </row>
    <row r="30" spans="1:20" ht="15" customHeight="1" x14ac:dyDescent="0.2">
      <c r="K30" s="8" t="s">
        <v>859</v>
      </c>
      <c r="L30" s="10">
        <f t="shared" si="21"/>
        <v>0.59756592920265128</v>
      </c>
      <c r="M30" s="10">
        <f t="shared" si="22"/>
        <v>0.72483088585054456</v>
      </c>
      <c r="N30" s="10">
        <f t="shared" si="23"/>
        <v>0.73221636632711784</v>
      </c>
      <c r="O30" s="10">
        <f t="shared" si="24"/>
        <v>-4.8038755390471595</v>
      </c>
      <c r="P30" s="10">
        <f t="shared" si="25"/>
        <v>-1.9602969100458982</v>
      </c>
    </row>
    <row r="31" spans="1:20" ht="15" customHeight="1" x14ac:dyDescent="0.2">
      <c r="K31" s="8" t="s">
        <v>910</v>
      </c>
      <c r="L31" s="10">
        <f t="shared" si="21"/>
        <v>-0.43117894015199171</v>
      </c>
      <c r="M31" s="10">
        <f t="shared" si="22"/>
        <v>-0.60431053431738613</v>
      </c>
      <c r="N31" s="10">
        <f t="shared" si="23"/>
        <v>1.8495512483159853</v>
      </c>
      <c r="O31" s="10">
        <f t="shared" si="24"/>
        <v>0.676805376822324</v>
      </c>
      <c r="P31" s="10">
        <f t="shared" si="25"/>
        <v>2.5175732023524682</v>
      </c>
    </row>
    <row r="32" spans="1:20" ht="15" customHeight="1" x14ac:dyDescent="0.2">
      <c r="K32" s="8" t="s">
        <v>99</v>
      </c>
      <c r="L32" s="10">
        <f t="shared" si="21"/>
        <v>-0.35069463337233986</v>
      </c>
      <c r="M32" s="10">
        <f t="shared" si="22"/>
        <v>-0.1603828967681577</v>
      </c>
      <c r="N32" s="10">
        <f t="shared" si="23"/>
        <v>-0.6579878507980863</v>
      </c>
      <c r="O32" s="10">
        <f t="shared" si="24"/>
        <v>2.4926293206585308</v>
      </c>
      <c r="P32" s="10">
        <f t="shared" si="25"/>
        <v>1.8436780085304005</v>
      </c>
    </row>
    <row r="33" spans="11:16" ht="15" customHeight="1" x14ac:dyDescent="0.2">
      <c r="K33" s="8" t="s">
        <v>100</v>
      </c>
      <c r="L33" s="10">
        <f t="shared" si="21"/>
        <v>-2.0428914531842104E-3</v>
      </c>
      <c r="M33" s="10">
        <f t="shared" si="22"/>
        <v>3.3608208650508467E-2</v>
      </c>
      <c r="N33" s="10">
        <f t="shared" si="23"/>
        <v>2.5327312482518932E-2</v>
      </c>
      <c r="O33" s="10">
        <f t="shared" si="24"/>
        <v>0.53104261363299687</v>
      </c>
      <c r="P33" s="10">
        <f t="shared" si="25"/>
        <v>0.37792786775632664</v>
      </c>
    </row>
    <row r="34" spans="11:16" ht="15" customHeight="1" x14ac:dyDescent="0.2">
      <c r="K34" s="8" t="s">
        <v>84</v>
      </c>
      <c r="L34" s="10">
        <f t="shared" si="21"/>
        <v>-0.24706225653946989</v>
      </c>
      <c r="M34" s="10">
        <f t="shared" si="22"/>
        <v>-0.10492218357532847</v>
      </c>
      <c r="N34" s="10">
        <f t="shared" si="23"/>
        <v>-0.57772944411220362</v>
      </c>
      <c r="O34" s="10">
        <f t="shared" si="24"/>
        <v>2.2073517971696579</v>
      </c>
      <c r="P34" s="10">
        <f t="shared" si="25"/>
        <v>1.4626961178740083</v>
      </c>
    </row>
    <row r="35" spans="11:16" ht="15" customHeight="1" x14ac:dyDescent="0.2">
      <c r="K35" s="8" t="s">
        <v>861</v>
      </c>
      <c r="L35" s="10">
        <f t="shared" si="21"/>
        <v>-1.5453878579726679</v>
      </c>
      <c r="M35" s="10">
        <f t="shared" si="22"/>
        <v>-1.3914380775816031</v>
      </c>
      <c r="N35" s="10">
        <f t="shared" si="23"/>
        <v>-0.5232006864623302</v>
      </c>
      <c r="O35" s="10" t="str">
        <f t="shared" si="24"/>
        <v>-</v>
      </c>
      <c r="P35" s="10" t="str">
        <f t="shared" si="25"/>
        <v>-</v>
      </c>
    </row>
    <row r="36" spans="11:16" ht="15" customHeight="1" x14ac:dyDescent="0.2">
      <c r="K36" s="8" t="s">
        <v>819</v>
      </c>
      <c r="L36" s="10">
        <f t="shared" si="21"/>
        <v>8.7828416317982754</v>
      </c>
      <c r="M36" s="10">
        <f t="shared" si="22"/>
        <v>0.97322215490911768</v>
      </c>
      <c r="N36" s="10">
        <f t="shared" si="23"/>
        <v>0.51248632042048137</v>
      </c>
      <c r="O36" s="10">
        <f t="shared" si="24"/>
        <v>9.1569753140175958E-2</v>
      </c>
      <c r="P36" s="10">
        <f t="shared" si="25"/>
        <v>-0.70715412709136749</v>
      </c>
    </row>
    <row r="37" spans="11:16" ht="15" customHeight="1" x14ac:dyDescent="0.2">
      <c r="K37" s="8" t="s">
        <v>103</v>
      </c>
      <c r="L37" s="10">
        <f t="shared" si="21"/>
        <v>-0.55505779347632789</v>
      </c>
      <c r="M37" s="10">
        <f t="shared" si="22"/>
        <v>-0.27464359398489568</v>
      </c>
      <c r="N37" s="10">
        <f t="shared" si="23"/>
        <v>-0.66839574034910065</v>
      </c>
      <c r="O37" s="10">
        <f t="shared" si="24"/>
        <v>12.670005072728681</v>
      </c>
      <c r="P37" s="10">
        <f t="shared" si="25"/>
        <v>2.7533033751908906</v>
      </c>
    </row>
    <row r="38" spans="11:16" ht="15" customHeight="1" x14ac:dyDescent="0.2">
      <c r="K38" s="8" t="s">
        <v>104</v>
      </c>
      <c r="L38" s="10">
        <f t="shared" si="21"/>
        <v>-0.39406624101560439</v>
      </c>
      <c r="M38" s="10">
        <f t="shared" si="22"/>
        <v>0.52784091818966117</v>
      </c>
      <c r="N38" s="10">
        <f t="shared" si="23"/>
        <v>0.37049733778888133</v>
      </c>
      <c r="O38" s="10">
        <f t="shared" si="24"/>
        <v>-11.088648038221324</v>
      </c>
      <c r="P38" s="10">
        <f t="shared" si="25"/>
        <v>-1.2306747306913023E-2</v>
      </c>
    </row>
    <row r="39" spans="11:16" ht="15" customHeight="1" x14ac:dyDescent="0.2">
      <c r="K39" s="8" t="s">
        <v>105</v>
      </c>
      <c r="L39" s="10">
        <f t="shared" si="21"/>
        <v>0.51818335926617132</v>
      </c>
      <c r="M39" s="10">
        <f t="shared" si="22"/>
        <v>-1.6243734819329088</v>
      </c>
      <c r="N39" s="10">
        <f t="shared" si="23"/>
        <v>2.0026248588977409</v>
      </c>
      <c r="O39" s="10">
        <f t="shared" si="24"/>
        <v>-21.327711824062668</v>
      </c>
      <c r="P39" s="10">
        <f t="shared" si="25"/>
        <v>4.1393484860619782</v>
      </c>
    </row>
    <row r="40" spans="11:16" ht="15" customHeight="1" x14ac:dyDescent="0.2">
      <c r="K40" s="8" t="s">
        <v>107</v>
      </c>
      <c r="L40" s="10">
        <f t="shared" si="21"/>
        <v>-0.74443395786821431</v>
      </c>
      <c r="M40" s="10">
        <f t="shared" si="22"/>
        <v>-0.60539657254944523</v>
      </c>
      <c r="N40" s="10">
        <f t="shared" si="23"/>
        <v>-0.5176357422800586</v>
      </c>
      <c r="O40" s="10">
        <f t="shared" si="24"/>
        <v>11.790124674024348</v>
      </c>
      <c r="P40" s="10">
        <f t="shared" si="25"/>
        <v>2.297239377369567</v>
      </c>
    </row>
  </sheetData>
  <mergeCells count="4">
    <mergeCell ref="A1:J1"/>
    <mergeCell ref="L1:T1"/>
    <mergeCell ref="A3:J3"/>
    <mergeCell ref="L23:T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4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65" customWidth="1"/>
    <col min="2" max="10" width="15" customWidth="1"/>
    <col min="11" max="11" width="35" customWidth="1"/>
    <col min="12" max="20" width="16" customWidth="1"/>
  </cols>
  <sheetData>
    <row r="1" spans="1:20" ht="21.75" customHeight="1" x14ac:dyDescent="0.2">
      <c r="A1" s="254" t="s">
        <v>911</v>
      </c>
      <c r="B1" s="254"/>
      <c r="C1" s="254"/>
      <c r="D1" s="254"/>
      <c r="E1" s="254"/>
      <c r="F1" s="254"/>
      <c r="G1" s="254"/>
      <c r="H1" s="254"/>
      <c r="I1" s="254"/>
      <c r="J1" s="254"/>
      <c r="L1" s="254" t="s">
        <v>109</v>
      </c>
      <c r="M1" s="254"/>
      <c r="N1" s="254"/>
      <c r="O1" s="254"/>
      <c r="P1" s="254"/>
      <c r="Q1" s="254"/>
      <c r="R1" s="254"/>
      <c r="S1" s="254"/>
      <c r="T1" s="254"/>
    </row>
    <row r="2" spans="1:20" ht="27.75" customHeight="1" x14ac:dyDescent="0.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</row>
    <row r="3" spans="1:20" ht="15" customHeight="1" x14ac:dyDescent="0.2">
      <c r="A3" s="253" t="s">
        <v>110</v>
      </c>
      <c r="B3" s="253"/>
      <c r="C3" s="253"/>
      <c r="D3" s="253"/>
      <c r="E3" s="253"/>
      <c r="F3" s="253"/>
      <c r="G3" s="253"/>
      <c r="H3" s="253"/>
      <c r="I3" s="253"/>
      <c r="J3" s="253"/>
    </row>
    <row r="4" spans="1:20" ht="15" customHeight="1" x14ac:dyDescent="0.2">
      <c r="A4" s="8" t="s">
        <v>111</v>
      </c>
      <c r="B4" s="9">
        <v>283181.42300000001</v>
      </c>
      <c r="C4" s="9">
        <v>1108055.7520000001</v>
      </c>
      <c r="D4" s="9">
        <v>788701.25899999996</v>
      </c>
      <c r="E4" s="9">
        <v>1998718.7239999999</v>
      </c>
      <c r="F4" s="9">
        <v>1342206.1340000001</v>
      </c>
      <c r="G4" s="9">
        <v>2782557.1910000001</v>
      </c>
      <c r="H4" s="9">
        <v>1655130.487</v>
      </c>
      <c r="I4" s="9">
        <v>129406.908</v>
      </c>
      <c r="J4" s="9">
        <v>-99755.611999999994</v>
      </c>
      <c r="L4" s="10">
        <f t="shared" ref="L4:T4" si="0">IFERROR(B4/B14,"")</f>
        <v>0.17333371112604481</v>
      </c>
      <c r="M4" s="10">
        <f t="shared" si="0"/>
        <v>0.39627877985940368</v>
      </c>
      <c r="N4" s="10">
        <f t="shared" si="0"/>
        <v>0.34114275073990535</v>
      </c>
      <c r="O4" s="10">
        <f t="shared" si="0"/>
        <v>-1.6023287262903159</v>
      </c>
      <c r="P4" s="10">
        <f t="shared" si="0"/>
        <v>-0.61459766563777396</v>
      </c>
      <c r="Q4" s="10">
        <f t="shared" si="0"/>
        <v>0.71587065451154286</v>
      </c>
      <c r="R4" s="10">
        <f t="shared" si="0"/>
        <v>0.65382523220698208</v>
      </c>
      <c r="S4" s="10">
        <f t="shared" si="0"/>
        <v>0.24752940063356618</v>
      </c>
      <c r="T4" s="10">
        <f t="shared" si="0"/>
        <v>-0.2418127910262293</v>
      </c>
    </row>
    <row r="5" spans="1:20" ht="15" customHeight="1" x14ac:dyDescent="0.2">
      <c r="A5" s="8" t="s">
        <v>112</v>
      </c>
      <c r="B5" s="9">
        <v>896589.24699999997</v>
      </c>
      <c r="C5" s="9">
        <v>898424.63100000005</v>
      </c>
      <c r="D5" s="9">
        <v>762361.83700000006</v>
      </c>
      <c r="E5" s="9">
        <v>737573.31900000002</v>
      </c>
      <c r="F5" s="9">
        <v>509135.79</v>
      </c>
      <c r="G5" s="9">
        <v>496559.27799999999</v>
      </c>
      <c r="H5" s="9">
        <v>183453.424</v>
      </c>
      <c r="I5" s="9">
        <v>119822.546</v>
      </c>
      <c r="J5" s="9">
        <v>86958.504000000001</v>
      </c>
      <c r="L5" s="10">
        <f t="shared" ref="L5:T5" si="1">IFERROR(B5/B14,"")</f>
        <v>0.54879709230861529</v>
      </c>
      <c r="M5" s="10">
        <f t="shared" si="1"/>
        <v>0.32130749371202666</v>
      </c>
      <c r="N5" s="10">
        <f t="shared" si="1"/>
        <v>0.32974996700659176</v>
      </c>
      <c r="O5" s="10">
        <f t="shared" si="1"/>
        <v>-0.59129626524627033</v>
      </c>
      <c r="P5" s="10">
        <f t="shared" si="1"/>
        <v>-0.23313383846198682</v>
      </c>
      <c r="Q5" s="10">
        <f t="shared" si="1"/>
        <v>0.12775019198002141</v>
      </c>
      <c r="R5" s="10">
        <f t="shared" si="1"/>
        <v>7.2469499225631714E-2</v>
      </c>
      <c r="S5" s="10">
        <f t="shared" si="1"/>
        <v>0.22919644284961907</v>
      </c>
      <c r="T5" s="10">
        <f t="shared" si="1"/>
        <v>0.21079193575300331</v>
      </c>
    </row>
    <row r="6" spans="1:20" ht="15" customHeight="1" x14ac:dyDescent="0.2">
      <c r="A6" s="8" t="s">
        <v>864</v>
      </c>
      <c r="B6" s="9">
        <v>19649.335999999999</v>
      </c>
      <c r="C6" s="9">
        <v>16324.012000000001</v>
      </c>
      <c r="D6" s="9">
        <v>12471.328</v>
      </c>
      <c r="E6" s="9">
        <v>11551.433999999999</v>
      </c>
      <c r="F6" s="9">
        <v>8000.7839999999997</v>
      </c>
      <c r="G6" s="9">
        <v>1023371.075</v>
      </c>
      <c r="H6" s="9">
        <v>620571.17000000004</v>
      </c>
      <c r="I6" s="9">
        <v>1947.0909999999999</v>
      </c>
      <c r="J6" s="9">
        <v>723.13</v>
      </c>
      <c r="L6" s="10">
        <f t="shared" ref="L6:T6" si="2">IFERROR(B6/B14,"")</f>
        <v>1.2027244915859445E-2</v>
      </c>
      <c r="M6" s="10">
        <f t="shared" si="2"/>
        <v>5.8380271444773511E-3</v>
      </c>
      <c r="N6" s="10">
        <f t="shared" si="2"/>
        <v>5.3943151361187346E-3</v>
      </c>
      <c r="O6" s="10">
        <f t="shared" si="2"/>
        <v>-9.2605299113846934E-3</v>
      </c>
      <c r="P6" s="10">
        <f t="shared" si="2"/>
        <v>-3.6635677971592782E-3</v>
      </c>
      <c r="Q6" s="10">
        <f t="shared" si="2"/>
        <v>0.26328347307217348</v>
      </c>
      <c r="R6" s="10">
        <f t="shared" si="2"/>
        <v>0.24514386781772127</v>
      </c>
      <c r="S6" s="10">
        <f t="shared" si="2"/>
        <v>3.7243936638143844E-3</v>
      </c>
      <c r="T6" s="10">
        <f t="shared" si="2"/>
        <v>1.7529047245461961E-3</v>
      </c>
    </row>
    <row r="7" spans="1:20" ht="15" customHeight="1" x14ac:dyDescent="0.2">
      <c r="A7" s="8" t="s">
        <v>912</v>
      </c>
      <c r="B7" s="9">
        <v>61904.684000000001</v>
      </c>
      <c r="C7" s="9">
        <v>0</v>
      </c>
      <c r="D7" s="9">
        <v>0</v>
      </c>
      <c r="E7" s="9">
        <v>42401.447999999997</v>
      </c>
      <c r="F7" s="9">
        <v>29368.201000000001</v>
      </c>
      <c r="G7" s="9">
        <v>135620.829</v>
      </c>
      <c r="H7" s="9">
        <v>148.96899999999999</v>
      </c>
      <c r="I7" s="9">
        <v>192.18199999999999</v>
      </c>
      <c r="J7" s="9">
        <v>16382.525</v>
      </c>
      <c r="L7" s="10">
        <f t="shared" ref="L7:T7" si="3">IFERROR(B7/B14,"")</f>
        <v>3.7891499026068136E-2</v>
      </c>
      <c r="M7" s="10">
        <f t="shared" si="3"/>
        <v>0</v>
      </c>
      <c r="N7" s="10">
        <f t="shared" si="3"/>
        <v>0</v>
      </c>
      <c r="O7" s="10">
        <f t="shared" si="3"/>
        <v>-3.399230584618522E-2</v>
      </c>
      <c r="P7" s="10">
        <f t="shared" si="3"/>
        <v>-1.3447731552820438E-2</v>
      </c>
      <c r="Q7" s="10">
        <f t="shared" si="3"/>
        <v>3.4891276246055071E-2</v>
      </c>
      <c r="R7" s="10">
        <f t="shared" si="3"/>
        <v>5.8847137299236949E-5</v>
      </c>
      <c r="S7" s="10">
        <f t="shared" si="3"/>
        <v>3.6760553209848747E-4</v>
      </c>
      <c r="T7" s="10">
        <f t="shared" si="3"/>
        <v>3.9712092531766309E-2</v>
      </c>
    </row>
    <row r="8" spans="1:20" ht="15" customHeight="1" x14ac:dyDescent="0.2">
      <c r="A8" s="8" t="s">
        <v>865</v>
      </c>
      <c r="B8" s="9">
        <v>723242.97900000005</v>
      </c>
      <c r="C8" s="9">
        <v>829548.72600000002</v>
      </c>
      <c r="D8" s="9">
        <v>604234.18700000003</v>
      </c>
      <c r="E8" s="9">
        <v>-125082.079</v>
      </c>
      <c r="F8" s="9">
        <v>-2088541.777</v>
      </c>
      <c r="G8" s="9">
        <v>317908.15399999998</v>
      </c>
      <c r="H8" s="9">
        <v>354136.68300000002</v>
      </c>
      <c r="I8" s="9">
        <v>186466.48499999999</v>
      </c>
      <c r="J8" s="9">
        <v>141747.834</v>
      </c>
      <c r="L8" s="10">
        <f t="shared" ref="L8:T8" si="4">IFERROR(B8/B14,"")</f>
        <v>0.44269284428281902</v>
      </c>
      <c r="M8" s="10">
        <f t="shared" si="4"/>
        <v>0.29667510536347341</v>
      </c>
      <c r="N8" s="10">
        <f t="shared" si="4"/>
        <v>0.26135385266865713</v>
      </c>
      <c r="O8" s="10">
        <f t="shared" si="4"/>
        <v>0.1002755444871765</v>
      </c>
      <c r="P8" s="10">
        <f t="shared" si="4"/>
        <v>0.95634557778825358</v>
      </c>
      <c r="Q8" s="10">
        <f t="shared" si="4"/>
        <v>8.1788478243909099E-2</v>
      </c>
      <c r="R8" s="10">
        <f t="shared" si="4"/>
        <v>0.13989440760961913</v>
      </c>
      <c r="S8" s="10">
        <f t="shared" si="4"/>
        <v>0.35667290088020537</v>
      </c>
      <c r="T8" s="10">
        <f t="shared" si="4"/>
        <v>0.3436041208534979</v>
      </c>
    </row>
    <row r="9" spans="1:20" ht="15" customHeight="1" x14ac:dyDescent="0.2">
      <c r="A9" s="8" t="s">
        <v>866</v>
      </c>
      <c r="B9" s="9">
        <v>-559224.74800000002</v>
      </c>
      <c r="C9" s="9">
        <v>-528085.39199999999</v>
      </c>
      <c r="D9" s="9">
        <v>1272288.9469999999</v>
      </c>
      <c r="E9" s="9">
        <v>-2212879.5329999998</v>
      </c>
      <c r="F9" s="9">
        <v>467866.86800000002</v>
      </c>
      <c r="G9" s="9">
        <v>519506.913</v>
      </c>
      <c r="H9" s="9">
        <v>196746.424</v>
      </c>
      <c r="I9" s="9">
        <v>373967.70199999999</v>
      </c>
      <c r="J9" s="9">
        <v>187263.37299999999</v>
      </c>
      <c r="L9" s="10">
        <f t="shared" ref="L9:T9" si="5">IFERROR(B9/B14,"")</f>
        <v>-0.34229823375231505</v>
      </c>
      <c r="M9" s="10">
        <f t="shared" si="5"/>
        <v>-0.18886146696645176</v>
      </c>
      <c r="N9" s="10">
        <f t="shared" si="5"/>
        <v>0.55031248671502075</v>
      </c>
      <c r="O9" s="10">
        <f t="shared" si="5"/>
        <v>1.7740167242991209</v>
      </c>
      <c r="P9" s="10">
        <f t="shared" si="5"/>
        <v>-0.21423675366846184</v>
      </c>
      <c r="Q9" s="10">
        <f t="shared" si="5"/>
        <v>0.13365394789924415</v>
      </c>
      <c r="R9" s="10">
        <f t="shared" si="5"/>
        <v>7.7720625272787544E-2</v>
      </c>
      <c r="S9" s="10">
        <f t="shared" si="5"/>
        <v>0.71532503606663789</v>
      </c>
      <c r="T9" s="10">
        <f t="shared" si="5"/>
        <v>0.45393615430995332</v>
      </c>
    </row>
    <row r="10" spans="1:20" ht="15" customHeight="1" x14ac:dyDescent="0.2">
      <c r="A10" s="8" t="s">
        <v>867</v>
      </c>
      <c r="B10" s="9">
        <v>678566.38600000006</v>
      </c>
      <c r="C10" s="9">
        <v>231549.88</v>
      </c>
      <c r="D10" s="9">
        <v>-1302159.608</v>
      </c>
      <c r="E10" s="9">
        <v>-1352303.6</v>
      </c>
      <c r="F10" s="9">
        <v>-935839.22199999995</v>
      </c>
      <c r="G10" s="9">
        <v>-1339739.3640000001</v>
      </c>
      <c r="H10" s="9">
        <v>0</v>
      </c>
      <c r="I10" s="9">
        <v>0</v>
      </c>
      <c r="J10" s="9">
        <v>0</v>
      </c>
      <c r="L10" s="10">
        <f t="shared" ref="L10:T10" si="6">IFERROR(B10/B14,"")</f>
        <v>0.41534656011234261</v>
      </c>
      <c r="M10" s="10">
        <f t="shared" si="6"/>
        <v>8.2810186903836708E-2</v>
      </c>
      <c r="N10" s="10">
        <f t="shared" si="6"/>
        <v>-0.56323266319968801</v>
      </c>
      <c r="O10" s="10">
        <f t="shared" si="6"/>
        <v>1.0841119758008575</v>
      </c>
      <c r="P10" s="10">
        <f t="shared" si="6"/>
        <v>0.42852180949239382</v>
      </c>
      <c r="Q10" s="10">
        <f t="shared" si="6"/>
        <v>-0.3446757890488793</v>
      </c>
      <c r="R10" s="10">
        <f t="shared" si="6"/>
        <v>0</v>
      </c>
      <c r="S10" s="10">
        <f t="shared" si="6"/>
        <v>0</v>
      </c>
      <c r="T10" s="10">
        <f t="shared" si="6"/>
        <v>0</v>
      </c>
    </row>
    <row r="11" spans="1:20" ht="15" customHeight="1" x14ac:dyDescent="0.2">
      <c r="A11" s="8" t="s">
        <v>116</v>
      </c>
      <c r="B11" s="9">
        <v>-223332.65599999999</v>
      </c>
      <c r="C11" s="9">
        <v>362588.77</v>
      </c>
      <c r="D11" s="9">
        <v>267441.76199999999</v>
      </c>
      <c r="E11" s="9">
        <v>1761932.2720000001</v>
      </c>
      <c r="F11" s="9">
        <v>-55128.618000000002</v>
      </c>
      <c r="G11" s="9">
        <v>84876.697</v>
      </c>
      <c r="H11" s="9">
        <v>-408911.28</v>
      </c>
      <c r="I11" s="9">
        <v>-271146.16800000001</v>
      </c>
      <c r="J11" s="9">
        <v>93612.46</v>
      </c>
      <c r="L11" s="10">
        <f t="shared" ref="L11:T11" si="7">IFERROR(B11/B14,"")</f>
        <v>-0.13670062700446398</v>
      </c>
      <c r="M11" s="10">
        <f t="shared" si="7"/>
        <v>0.12967419293386057</v>
      </c>
      <c r="N11" s="10">
        <f t="shared" si="7"/>
        <v>0.11567855041474846</v>
      </c>
      <c r="O11" s="10">
        <f t="shared" si="7"/>
        <v>-1.4125022492177157</v>
      </c>
      <c r="P11" s="10">
        <f t="shared" si="7"/>
        <v>2.5243454842262376E-2</v>
      </c>
      <c r="Q11" s="10">
        <f t="shared" si="7"/>
        <v>2.183629390644496E-2</v>
      </c>
      <c r="R11" s="10">
        <f t="shared" si="7"/>
        <v>-0.1615319847576793</v>
      </c>
      <c r="S11" s="10">
        <f t="shared" si="7"/>
        <v>-0.51864811149902634</v>
      </c>
      <c r="T11" s="10">
        <f t="shared" si="7"/>
        <v>0.2269214711191512</v>
      </c>
    </row>
    <row r="12" spans="1:20" ht="15" customHeight="1" x14ac:dyDescent="0.2">
      <c r="A12" s="8" t="s">
        <v>870</v>
      </c>
      <c r="B12" s="9">
        <v>-246841.23300000001</v>
      </c>
      <c r="C12" s="9">
        <v>-122254.255</v>
      </c>
      <c r="D12" s="9">
        <v>-93400.626999999993</v>
      </c>
      <c r="E12" s="9">
        <v>-2109295.6779999998</v>
      </c>
      <c r="F12" s="9">
        <v>-1460945.8559999999</v>
      </c>
      <c r="G12" s="9">
        <v>-133705.53400000001</v>
      </c>
      <c r="H12" s="9">
        <v>-69818.837</v>
      </c>
      <c r="I12" s="9">
        <v>-17862.654999999999</v>
      </c>
      <c r="J12" s="9">
        <v>-14399.81</v>
      </c>
      <c r="L12" s="10">
        <f t="shared" ref="L12:T12" si="8">IFERROR(B12/B14,"")</f>
        <v>-0.15109009101497001</v>
      </c>
      <c r="M12" s="10">
        <f t="shared" si="8"/>
        <v>-4.3722318950626587E-2</v>
      </c>
      <c r="N12" s="10">
        <f t="shared" si="8"/>
        <v>-4.0399259481354359E-2</v>
      </c>
      <c r="O12" s="10">
        <f t="shared" si="8"/>
        <v>1.6909758319247166</v>
      </c>
      <c r="P12" s="10">
        <f t="shared" si="8"/>
        <v>0.66896871499529242</v>
      </c>
      <c r="Q12" s="10">
        <f t="shared" si="8"/>
        <v>-3.4398526810511601E-2</v>
      </c>
      <c r="R12" s="10">
        <f t="shared" si="8"/>
        <v>-2.7580494512361935E-2</v>
      </c>
      <c r="S12" s="10">
        <f t="shared" si="8"/>
        <v>-3.416766812691463E-2</v>
      </c>
      <c r="T12" s="10">
        <f t="shared" si="8"/>
        <v>-3.4905888265688821E-2</v>
      </c>
    </row>
    <row r="14" spans="1:20" ht="15" customHeight="1" x14ac:dyDescent="0.2">
      <c r="A14" s="6" t="s">
        <v>118</v>
      </c>
      <c r="B14" s="11">
        <f t="shared" ref="B14:J14" si="9">SUM(B4:B12)</f>
        <v>1633735.4179999996</v>
      </c>
      <c r="C14" s="11">
        <f t="shared" si="9"/>
        <v>2796152.1240000003</v>
      </c>
      <c r="D14" s="11">
        <f t="shared" si="9"/>
        <v>2311939.0850000004</v>
      </c>
      <c r="E14" s="11">
        <f t="shared" si="9"/>
        <v>-1247383.6929999997</v>
      </c>
      <c r="F14" s="11">
        <f t="shared" si="9"/>
        <v>-2183877.696</v>
      </c>
      <c r="G14" s="11">
        <f t="shared" si="9"/>
        <v>3886955.2389999996</v>
      </c>
      <c r="H14" s="11">
        <f t="shared" si="9"/>
        <v>2531457.0400000005</v>
      </c>
      <c r="I14" s="11">
        <f t="shared" si="9"/>
        <v>522794.09099999978</v>
      </c>
      <c r="J14" s="11">
        <f t="shared" si="9"/>
        <v>412532.40399999998</v>
      </c>
      <c r="L14" s="12">
        <f t="shared" ref="L14:T14" si="10">IFERROR(B14/B14,"")</f>
        <v>1</v>
      </c>
      <c r="M14" s="12">
        <f t="shared" si="10"/>
        <v>1</v>
      </c>
      <c r="N14" s="12">
        <f t="shared" si="10"/>
        <v>1</v>
      </c>
      <c r="O14" s="12">
        <f t="shared" si="10"/>
        <v>1</v>
      </c>
      <c r="P14" s="12">
        <f t="shared" si="10"/>
        <v>1</v>
      </c>
      <c r="Q14" s="12">
        <f t="shared" si="10"/>
        <v>1</v>
      </c>
      <c r="R14" s="12">
        <f t="shared" si="10"/>
        <v>1</v>
      </c>
      <c r="S14" s="12">
        <f t="shared" si="10"/>
        <v>1</v>
      </c>
      <c r="T14" s="12">
        <f t="shared" si="10"/>
        <v>1</v>
      </c>
    </row>
    <row r="15" spans="1:20" ht="15" customHeight="1" x14ac:dyDescent="0.2">
      <c r="A15" s="253" t="s">
        <v>119</v>
      </c>
      <c r="B15" s="253"/>
      <c r="C15" s="253"/>
      <c r="D15" s="253"/>
      <c r="E15" s="253"/>
      <c r="F15" s="253"/>
      <c r="G15" s="253"/>
      <c r="H15" s="253"/>
      <c r="I15" s="253"/>
      <c r="J15" s="253"/>
    </row>
    <row r="16" spans="1:20" ht="15" customHeight="1" x14ac:dyDescent="0.2">
      <c r="A16" s="8" t="s">
        <v>120</v>
      </c>
      <c r="B16" s="9">
        <v>-8365.6659999999993</v>
      </c>
      <c r="C16" s="9">
        <v>-4036.8739999999998</v>
      </c>
      <c r="D16" s="9">
        <v>-4619.8370000000004</v>
      </c>
      <c r="E16" s="9">
        <v>-228212.59299999999</v>
      </c>
      <c r="F16" s="9">
        <v>-158065.19899999999</v>
      </c>
      <c r="G16" s="9">
        <v>-115385.95</v>
      </c>
      <c r="H16" s="9">
        <v>-64083.144999999997</v>
      </c>
      <c r="I16" s="9">
        <v>-862.85799999999995</v>
      </c>
      <c r="J16" s="9">
        <v>-180203.60800000001</v>
      </c>
      <c r="L16" s="10">
        <f t="shared" ref="L16:T16" si="11">IFERROR(B16/B14,"")</f>
        <v>-5.1205757724473852E-3</v>
      </c>
      <c r="M16" s="10">
        <f t="shared" si="11"/>
        <v>-1.4437247406357493E-3</v>
      </c>
      <c r="N16" s="10">
        <f t="shared" si="11"/>
        <v>-1.9982520430463675E-3</v>
      </c>
      <c r="O16" s="10">
        <f t="shared" si="11"/>
        <v>0.18295300337872866</v>
      </c>
      <c r="P16" s="10">
        <f t="shared" si="11"/>
        <v>7.2378228547099008E-2</v>
      </c>
      <c r="Q16" s="10">
        <f t="shared" si="11"/>
        <v>-2.9685433174601063E-2</v>
      </c>
      <c r="R16" s="10">
        <f t="shared" si="11"/>
        <v>-2.5314727442500854E-2</v>
      </c>
      <c r="S16" s="10">
        <f t="shared" si="11"/>
        <v>-1.6504738956584731E-3</v>
      </c>
      <c r="T16" s="10">
        <f t="shared" si="11"/>
        <v>-0.43682291682473512</v>
      </c>
    </row>
    <row r="17" spans="1:20" ht="15" customHeight="1" x14ac:dyDescent="0.2">
      <c r="A17" s="8" t="s">
        <v>871</v>
      </c>
      <c r="B17" s="9">
        <v>2164.317</v>
      </c>
      <c r="C17" s="9">
        <v>131231.367</v>
      </c>
      <c r="D17" s="9">
        <v>100259.02</v>
      </c>
      <c r="E17" s="9">
        <v>0</v>
      </c>
      <c r="F17" s="9">
        <v>0</v>
      </c>
      <c r="G17" s="9">
        <v>0</v>
      </c>
      <c r="H17" s="9">
        <v>0</v>
      </c>
      <c r="I17" s="9">
        <v>75.742000000000004</v>
      </c>
      <c r="J17" s="9">
        <v>21192.93</v>
      </c>
      <c r="L17" s="10">
        <f t="shared" ref="L17:T17" si="12">IFERROR(B17/B14,"")</f>
        <v>1.3247659175128444E-3</v>
      </c>
      <c r="M17" s="10">
        <f t="shared" si="12"/>
        <v>4.6932842413548163E-2</v>
      </c>
      <c r="N17" s="10">
        <f t="shared" si="12"/>
        <v>4.3365770599444659E-2</v>
      </c>
      <c r="O17" s="10">
        <f t="shared" si="12"/>
        <v>0</v>
      </c>
      <c r="P17" s="10">
        <f t="shared" si="12"/>
        <v>0</v>
      </c>
      <c r="Q17" s="10">
        <f t="shared" si="12"/>
        <v>0</v>
      </c>
      <c r="R17" s="10">
        <f t="shared" si="12"/>
        <v>0</v>
      </c>
      <c r="S17" s="10">
        <f t="shared" si="12"/>
        <v>1.4487921976149505E-4</v>
      </c>
      <c r="T17" s="10">
        <f t="shared" si="12"/>
        <v>5.1372764404708442E-2</v>
      </c>
    </row>
    <row r="18" spans="1:20" ht="15" customHeight="1" x14ac:dyDescent="0.2">
      <c r="A18" s="6" t="s">
        <v>122</v>
      </c>
      <c r="B18" s="11">
        <f t="shared" ref="B18:J18" si="13">B16+B17</f>
        <v>-6201.3489999999993</v>
      </c>
      <c r="C18" s="11">
        <f t="shared" si="13"/>
        <v>127194.493</v>
      </c>
      <c r="D18" s="11">
        <f t="shared" si="13"/>
        <v>95639.183000000005</v>
      </c>
      <c r="E18" s="11">
        <f t="shared" si="13"/>
        <v>-228212.59299999999</v>
      </c>
      <c r="F18" s="11">
        <f t="shared" si="13"/>
        <v>-158065.19899999999</v>
      </c>
      <c r="G18" s="11">
        <f t="shared" si="13"/>
        <v>-115385.95</v>
      </c>
      <c r="H18" s="11">
        <f t="shared" si="13"/>
        <v>-64083.144999999997</v>
      </c>
      <c r="I18" s="11">
        <f t="shared" si="13"/>
        <v>-787.11599999999999</v>
      </c>
      <c r="J18" s="11">
        <f t="shared" si="13"/>
        <v>-159010.67800000001</v>
      </c>
      <c r="L18" s="12">
        <f t="shared" ref="L18:T18" si="14">IFERROR(B18/B14,"")</f>
        <v>-3.7958098549345405E-3</v>
      </c>
      <c r="M18" s="12">
        <f t="shared" si="14"/>
        <v>4.5489117672912416E-2</v>
      </c>
      <c r="N18" s="12">
        <f t="shared" si="14"/>
        <v>4.1367518556398294E-2</v>
      </c>
      <c r="O18" s="12">
        <f t="shared" si="14"/>
        <v>0.18295300337872866</v>
      </c>
      <c r="P18" s="12">
        <f t="shared" si="14"/>
        <v>7.2378228547099008E-2</v>
      </c>
      <c r="Q18" s="12">
        <f t="shared" si="14"/>
        <v>-2.9685433174601063E-2</v>
      </c>
      <c r="R18" s="12">
        <f t="shared" si="14"/>
        <v>-2.5314727442500854E-2</v>
      </c>
      <c r="S18" s="12">
        <f t="shared" si="14"/>
        <v>-1.5055946758969782E-3</v>
      </c>
      <c r="T18" s="12">
        <f t="shared" si="14"/>
        <v>-0.38545015242002667</v>
      </c>
    </row>
    <row r="19" spans="1:20" ht="15" customHeight="1" x14ac:dyDescent="0.2">
      <c r="A19" s="253" t="s">
        <v>123</v>
      </c>
      <c r="B19" s="253"/>
      <c r="C19" s="253"/>
      <c r="D19" s="253"/>
      <c r="E19" s="253"/>
      <c r="F19" s="253"/>
      <c r="G19" s="253"/>
      <c r="H19" s="253"/>
      <c r="I19" s="253"/>
      <c r="J19" s="253"/>
    </row>
    <row r="20" spans="1:20" ht="15" customHeight="1" x14ac:dyDescent="0.2">
      <c r="A20" s="8" t="s">
        <v>872</v>
      </c>
      <c r="B20" s="9">
        <v>-668478.05900000001</v>
      </c>
      <c r="C20" s="9">
        <v>-276174.61200000002</v>
      </c>
      <c r="D20" s="9">
        <v>-210993.734</v>
      </c>
      <c r="E20" s="9">
        <v>-1494033.345</v>
      </c>
      <c r="F20" s="9">
        <v>-1035267.862</v>
      </c>
      <c r="G20" s="9">
        <v>-883531.41500000004</v>
      </c>
      <c r="H20" s="9">
        <v>-595215.32400000002</v>
      </c>
      <c r="I20" s="9">
        <v>-242425.37100000001</v>
      </c>
      <c r="J20" s="9">
        <v>-92444.634999999995</v>
      </c>
      <c r="L20" s="10">
        <f t="shared" ref="L20:T20" si="15">IFERROR(B20/B14,"")</f>
        <v>-0.40917155350548945</v>
      </c>
      <c r="M20" s="10">
        <f t="shared" si="15"/>
        <v>-9.8769523170621307E-2</v>
      </c>
      <c r="N20" s="10">
        <f t="shared" si="15"/>
        <v>-9.1262670097555773E-2</v>
      </c>
      <c r="O20" s="10">
        <f t="shared" si="15"/>
        <v>1.1977335870142727</v>
      </c>
      <c r="P20" s="10">
        <f t="shared" si="15"/>
        <v>0.4740502931534129</v>
      </c>
      <c r="Q20" s="10">
        <f t="shared" si="15"/>
        <v>-0.22730681489074903</v>
      </c>
      <c r="R20" s="10">
        <f t="shared" si="15"/>
        <v>-0.23512756274149527</v>
      </c>
      <c r="S20" s="10">
        <f t="shared" si="15"/>
        <v>-0.4637110005132023</v>
      </c>
      <c r="T20" s="10">
        <f t="shared" si="15"/>
        <v>-0.22409060258936653</v>
      </c>
    </row>
    <row r="21" spans="1:20" ht="15" customHeight="1" x14ac:dyDescent="0.2">
      <c r="A21" s="8" t="s">
        <v>125</v>
      </c>
      <c r="B21" s="9">
        <v>-77817.816000000006</v>
      </c>
      <c r="C21" s="9">
        <v>-239114.82399999999</v>
      </c>
      <c r="D21" s="9">
        <v>-156442.78400000001</v>
      </c>
      <c r="E21" s="9">
        <v>-562212.46100000001</v>
      </c>
      <c r="F21" s="9">
        <v>-389401.05699999997</v>
      </c>
      <c r="G21" s="9">
        <v>-64567.891000000003</v>
      </c>
      <c r="H21" s="9">
        <v>-9533.0400000000009</v>
      </c>
      <c r="I21" s="9">
        <v>0</v>
      </c>
      <c r="J21" s="9">
        <v>0</v>
      </c>
      <c r="L21" s="10">
        <f t="shared" ref="L21:T21" si="16">IFERROR(B21/B14,"")</f>
        <v>-4.7631835083347646E-2</v>
      </c>
      <c r="M21" s="10">
        <f t="shared" si="16"/>
        <v>-8.551567060591013E-2</v>
      </c>
      <c r="N21" s="10">
        <f t="shared" si="16"/>
        <v>-6.7667346866969888E-2</v>
      </c>
      <c r="O21" s="10">
        <f t="shared" si="16"/>
        <v>0.45071333235715155</v>
      </c>
      <c r="P21" s="10">
        <f t="shared" si="16"/>
        <v>0.17830717247272074</v>
      </c>
      <c r="Q21" s="10">
        <f t="shared" si="16"/>
        <v>-1.6611431578155103E-2</v>
      </c>
      <c r="R21" s="10">
        <f t="shared" si="16"/>
        <v>-3.7658312384396611E-3</v>
      </c>
      <c r="S21" s="10">
        <f t="shared" si="16"/>
        <v>0</v>
      </c>
      <c r="T21" s="10">
        <f t="shared" si="16"/>
        <v>0</v>
      </c>
    </row>
    <row r="22" spans="1:20" ht="15" customHeight="1" x14ac:dyDescent="0.2">
      <c r="A22" s="8" t="s">
        <v>913</v>
      </c>
      <c r="B22" s="9">
        <v>-1287761.7579999999</v>
      </c>
      <c r="C22" s="9">
        <v>-2482336.023</v>
      </c>
      <c r="D22" s="9">
        <v>-2105735.8870000001</v>
      </c>
      <c r="E22" s="9">
        <v>-2244717.9569999999</v>
      </c>
      <c r="F22" s="9">
        <v>-290258.88699999999</v>
      </c>
      <c r="G22" s="9">
        <v>-318011.14500000002</v>
      </c>
      <c r="H22" s="9">
        <v>-185436.32500000001</v>
      </c>
      <c r="I22" s="9">
        <v>-140969.334</v>
      </c>
      <c r="J22" s="9">
        <v>-115086.662</v>
      </c>
      <c r="L22" s="10">
        <f t="shared" ref="L22:T22" si="17">IFERROR(B22/B14,"")</f>
        <v>-0.78823152379010264</v>
      </c>
      <c r="M22" s="10">
        <f t="shared" si="17"/>
        <v>-0.8877685880154923</v>
      </c>
      <c r="N22" s="10">
        <f t="shared" si="17"/>
        <v>-0.91080941563821505</v>
      </c>
      <c r="O22" s="10">
        <f t="shared" si="17"/>
        <v>1.7995408867350011</v>
      </c>
      <c r="P22" s="10">
        <f t="shared" si="17"/>
        <v>0.13290986373991523</v>
      </c>
      <c r="Q22" s="10">
        <f t="shared" si="17"/>
        <v>-8.18149748186488E-2</v>
      </c>
      <c r="R22" s="10">
        <f t="shared" si="17"/>
        <v>-7.3252803452670864E-2</v>
      </c>
      <c r="S22" s="10">
        <f t="shared" si="17"/>
        <v>-0.26964599720389737</v>
      </c>
      <c r="T22" s="10">
        <f t="shared" si="17"/>
        <v>-0.27897605347869836</v>
      </c>
    </row>
    <row r="23" spans="1:20" ht="15" customHeight="1" x14ac:dyDescent="0.2">
      <c r="A23" s="6" t="s">
        <v>127</v>
      </c>
      <c r="B23" s="11">
        <f t="shared" ref="B23:J23" si="18">SUM(B20:B22)</f>
        <v>-2034057.6329999999</v>
      </c>
      <c r="C23" s="11">
        <f t="shared" si="18"/>
        <v>-2997625.4589999998</v>
      </c>
      <c r="D23" s="11">
        <f t="shared" si="18"/>
        <v>-2473172.4050000003</v>
      </c>
      <c r="E23" s="11">
        <f t="shared" si="18"/>
        <v>-4300963.7630000003</v>
      </c>
      <c r="F23" s="11">
        <f t="shared" si="18"/>
        <v>-1714927.8059999999</v>
      </c>
      <c r="G23" s="11">
        <f t="shared" si="18"/>
        <v>-1266110.4510000001</v>
      </c>
      <c r="H23" s="11">
        <f t="shared" si="18"/>
        <v>-790184.68900000001</v>
      </c>
      <c r="I23" s="11">
        <f t="shared" si="18"/>
        <v>-383394.70500000002</v>
      </c>
      <c r="J23" s="11">
        <f t="shared" si="18"/>
        <v>-207531.29699999999</v>
      </c>
      <c r="L23" s="12">
        <f t="shared" ref="L23:T23" si="19">IFERROR(B23/B14,"")</f>
        <v>-1.2450349123789397</v>
      </c>
      <c r="M23" s="12">
        <f t="shared" si="19"/>
        <v>-1.0720537817920237</v>
      </c>
      <c r="N23" s="12">
        <f t="shared" si="19"/>
        <v>-1.0697394326027407</v>
      </c>
      <c r="O23" s="12">
        <f t="shared" si="19"/>
        <v>3.4479878061064255</v>
      </c>
      <c r="P23" s="12">
        <f t="shared" si="19"/>
        <v>0.78526732936604882</v>
      </c>
      <c r="Q23" s="12">
        <f t="shared" si="19"/>
        <v>-0.32573322128755294</v>
      </c>
      <c r="R23" s="12">
        <f t="shared" si="19"/>
        <v>-0.3121461974326058</v>
      </c>
      <c r="S23" s="12">
        <f t="shared" si="19"/>
        <v>-0.73335699771709961</v>
      </c>
      <c r="T23" s="12">
        <f t="shared" si="19"/>
        <v>-0.50306665606806489</v>
      </c>
    </row>
    <row r="24" spans="1:20" ht="15" customHeight="1" x14ac:dyDescent="0.2">
      <c r="A24" s="8" t="s">
        <v>874</v>
      </c>
      <c r="B24" s="9">
        <v>91043.993000000002</v>
      </c>
      <c r="C24" s="9">
        <v>102687.70299999999</v>
      </c>
      <c r="D24" s="9">
        <v>78452.040999999997</v>
      </c>
      <c r="E24" s="9">
        <v>1616394.9069999999</v>
      </c>
      <c r="F24" s="9">
        <v>1119551.6429999999</v>
      </c>
      <c r="G24" s="9">
        <v>128371.35</v>
      </c>
      <c r="H24" s="9">
        <v>77908.039000000004</v>
      </c>
      <c r="I24" s="9">
        <v>33591.847000000002</v>
      </c>
      <c r="J24" s="9">
        <v>5973.049</v>
      </c>
      <c r="L24" s="10">
        <f t="shared" ref="L24:T24" si="20">IFERROR(B24/B14,"")</f>
        <v>5.5727501526198792E-2</v>
      </c>
      <c r="M24" s="10">
        <f t="shared" si="20"/>
        <v>3.6724648175830071E-2</v>
      </c>
      <c r="N24" s="10">
        <f t="shared" si="20"/>
        <v>3.393343774020758E-2</v>
      </c>
      <c r="O24" s="10">
        <f t="shared" si="20"/>
        <v>-1.2958281530140223</v>
      </c>
      <c r="P24" s="10">
        <f t="shared" si="20"/>
        <v>-0.51264392921388213</v>
      </c>
      <c r="Q24" s="10">
        <f t="shared" si="20"/>
        <v>3.302619714062522E-2</v>
      </c>
      <c r="R24" s="10">
        <f t="shared" si="20"/>
        <v>3.0775967266661569E-2</v>
      </c>
      <c r="S24" s="10">
        <f t="shared" si="20"/>
        <v>6.4254450419945569E-2</v>
      </c>
      <c r="T24" s="10">
        <f t="shared" si="20"/>
        <v>1.4478981389301968E-2</v>
      </c>
    </row>
    <row r="25" spans="1:20" ht="15" customHeight="1" x14ac:dyDescent="0.2">
      <c r="A25" s="8" t="s">
        <v>875</v>
      </c>
      <c r="B25" s="9">
        <v>-21973.807000000001</v>
      </c>
      <c r="C25" s="9">
        <v>-21276.478999999999</v>
      </c>
      <c r="D25" s="9">
        <v>-7408.8590000000004</v>
      </c>
      <c r="E25" s="9">
        <v>-80700.025999999998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L25" s="10">
        <f t="shared" ref="L25:T25" si="21">IFERROR(B25/B14,"")</f>
        <v>-1.3450040170458009E-2</v>
      </c>
      <c r="M25" s="10">
        <f t="shared" si="21"/>
        <v>-7.6091993770221631E-3</v>
      </c>
      <c r="N25" s="10">
        <f t="shared" si="21"/>
        <v>-3.2046082217603061E-3</v>
      </c>
      <c r="O25" s="10">
        <f t="shared" si="21"/>
        <v>6.4695431287797034E-2</v>
      </c>
      <c r="P25" s="10">
        <f t="shared" si="21"/>
        <v>0</v>
      </c>
      <c r="Q25" s="10">
        <f t="shared" si="21"/>
        <v>0</v>
      </c>
      <c r="R25" s="10">
        <f t="shared" si="21"/>
        <v>0</v>
      </c>
      <c r="S25" s="10">
        <f t="shared" si="21"/>
        <v>0</v>
      </c>
      <c r="T25" s="10">
        <f t="shared" si="21"/>
        <v>0</v>
      </c>
    </row>
    <row r="26" spans="1:20" ht="15" customHeight="1" x14ac:dyDescent="0.2">
      <c r="A26" s="6" t="s">
        <v>130</v>
      </c>
      <c r="B26" s="11">
        <f t="shared" ref="B26:J26" si="22">B14+B18+B23+B24+B25</f>
        <v>-337453.37800000026</v>
      </c>
      <c r="C26" s="11">
        <f t="shared" si="22"/>
        <v>7132.3820000002816</v>
      </c>
      <c r="D26" s="11">
        <f t="shared" si="22"/>
        <v>5449.0450000003584</v>
      </c>
      <c r="E26" s="11">
        <f t="shared" si="22"/>
        <v>-4240865.1680000005</v>
      </c>
      <c r="F26" s="11">
        <f t="shared" si="22"/>
        <v>-2937319.0580000002</v>
      </c>
      <c r="G26" s="11">
        <f t="shared" si="22"/>
        <v>2633830.1879999996</v>
      </c>
      <c r="H26" s="11">
        <f t="shared" si="22"/>
        <v>1755097.2450000006</v>
      </c>
      <c r="I26" s="11">
        <f t="shared" si="22"/>
        <v>172204.11699999979</v>
      </c>
      <c r="J26" s="11">
        <f t="shared" si="22"/>
        <v>51963.477999999974</v>
      </c>
      <c r="L26" s="12">
        <f t="shared" ref="L26:T26" si="23">IFERROR(B26/B14,"")</f>
        <v>-0.20655326087813342</v>
      </c>
      <c r="M26" s="12">
        <f t="shared" si="23"/>
        <v>2.5507846796965902E-3</v>
      </c>
      <c r="N26" s="12">
        <f t="shared" si="23"/>
        <v>2.3569154721048186E-3</v>
      </c>
      <c r="O26" s="12">
        <f t="shared" si="23"/>
        <v>3.3998080877589292</v>
      </c>
      <c r="P26" s="12">
        <f t="shared" si="23"/>
        <v>1.3450016286992659</v>
      </c>
      <c r="Q26" s="12">
        <f t="shared" si="23"/>
        <v>0.67760754267847123</v>
      </c>
      <c r="R26" s="12">
        <f t="shared" si="23"/>
        <v>0.69331504239155495</v>
      </c>
      <c r="S26" s="12">
        <f t="shared" si="23"/>
        <v>0.32939185802694904</v>
      </c>
      <c r="T26" s="12">
        <f t="shared" si="23"/>
        <v>0.1259621729012104</v>
      </c>
    </row>
    <row r="27" spans="1:20" ht="15" customHeight="1" x14ac:dyDescent="0.2">
      <c r="A27" s="8" t="s">
        <v>131</v>
      </c>
      <c r="B27" s="9">
        <v>680257.80900000001</v>
      </c>
      <c r="C27" s="9">
        <v>673125.42700000003</v>
      </c>
      <c r="D27" s="9">
        <v>514258.88400000002</v>
      </c>
      <c r="E27" s="9">
        <v>4755124.0520000001</v>
      </c>
      <c r="F27" s="9">
        <v>3293506.3829999999</v>
      </c>
      <c r="G27" s="9">
        <v>659676.19499999995</v>
      </c>
      <c r="H27" s="9">
        <v>243718.101</v>
      </c>
      <c r="I27" s="9">
        <v>71513.983999999997</v>
      </c>
      <c r="J27" s="9">
        <v>19550.506000000001</v>
      </c>
      <c r="L27" s="10">
        <f t="shared" ref="L27:T27" si="24">IFERROR(B27/B14,"")</f>
        <v>0.41638187034762575</v>
      </c>
      <c r="M27" s="10">
        <f t="shared" si="24"/>
        <v>0.24073276315062175</v>
      </c>
      <c r="N27" s="10">
        <f t="shared" si="24"/>
        <v>0.2224361737454687</v>
      </c>
      <c r="O27" s="10">
        <f t="shared" si="24"/>
        <v>-3.8120780948833528</v>
      </c>
      <c r="P27" s="10">
        <f t="shared" si="24"/>
        <v>-1.5081001967428858</v>
      </c>
      <c r="Q27" s="10">
        <f t="shared" si="24"/>
        <v>0.16971540818919115</v>
      </c>
      <c r="R27" s="10">
        <f t="shared" si="24"/>
        <v>9.6275819478255864E-2</v>
      </c>
      <c r="S27" s="10">
        <f t="shared" si="24"/>
        <v>0.13679187510174062</v>
      </c>
      <c r="T27" s="10">
        <f t="shared" si="24"/>
        <v>4.7391443218603509E-2</v>
      </c>
    </row>
    <row r="28" spans="1:20" ht="15" customHeight="1" x14ac:dyDescent="0.2">
      <c r="A28" s="6" t="s">
        <v>132</v>
      </c>
      <c r="B28" s="11">
        <f t="shared" ref="B28:J28" si="25">B27+B26</f>
        <v>342804.43099999975</v>
      </c>
      <c r="C28" s="11">
        <f t="shared" si="25"/>
        <v>680257.80900000036</v>
      </c>
      <c r="D28" s="11">
        <f t="shared" si="25"/>
        <v>519707.92900000035</v>
      </c>
      <c r="E28" s="11">
        <f t="shared" si="25"/>
        <v>514258.88399999961</v>
      </c>
      <c r="F28" s="11">
        <f t="shared" si="25"/>
        <v>356187.32499999972</v>
      </c>
      <c r="G28" s="11">
        <f t="shared" si="25"/>
        <v>3293506.3829999994</v>
      </c>
      <c r="H28" s="11">
        <f t="shared" si="25"/>
        <v>1998815.3460000006</v>
      </c>
      <c r="I28" s="11">
        <f t="shared" si="25"/>
        <v>243718.10099999979</v>
      </c>
      <c r="J28" s="11">
        <f t="shared" si="25"/>
        <v>71513.983999999968</v>
      </c>
      <c r="L28" s="12">
        <f t="shared" ref="L28:T28" si="26">IFERROR(B28/B14,"")</f>
        <v>0.20982860946949233</v>
      </c>
      <c r="M28" s="12">
        <f t="shared" si="26"/>
        <v>0.24328354783031836</v>
      </c>
      <c r="N28" s="12">
        <f t="shared" si="26"/>
        <v>0.22479308921757352</v>
      </c>
      <c r="O28" s="12">
        <f t="shared" si="26"/>
        <v>-0.41227000712442352</v>
      </c>
      <c r="P28" s="12">
        <f t="shared" si="26"/>
        <v>-0.16309856804361983</v>
      </c>
      <c r="Q28" s="12">
        <f t="shared" si="26"/>
        <v>0.84732295086766241</v>
      </c>
      <c r="R28" s="12">
        <f t="shared" si="26"/>
        <v>0.78959086186981087</v>
      </c>
      <c r="S28" s="12">
        <f t="shared" si="26"/>
        <v>0.46618373312868966</v>
      </c>
      <c r="T28" s="12">
        <f t="shared" si="26"/>
        <v>0.17335361611981387</v>
      </c>
    </row>
    <row r="31" spans="1:20" ht="18" customHeight="1" x14ac:dyDescent="0.2">
      <c r="L31" s="263" t="s">
        <v>44</v>
      </c>
      <c r="M31" s="263"/>
      <c r="N31" s="263"/>
      <c r="O31" s="263"/>
      <c r="P31" s="263"/>
      <c r="Q31" s="263"/>
      <c r="R31" s="263"/>
      <c r="S31" s="263"/>
      <c r="T31" s="263"/>
    </row>
    <row r="32" spans="1:20" ht="21.75" customHeight="1" x14ac:dyDescent="0.2">
      <c r="K32" s="249" t="s">
        <v>45</v>
      </c>
      <c r="L32" s="7" t="s">
        <v>46</v>
      </c>
      <c r="M32" s="7" t="s">
        <v>47</v>
      </c>
      <c r="N32" s="7" t="s">
        <v>48</v>
      </c>
      <c r="O32" s="7" t="s">
        <v>49</v>
      </c>
      <c r="P32" s="7" t="s">
        <v>50</v>
      </c>
    </row>
    <row r="33" spans="1:16" ht="15" customHeight="1" x14ac:dyDescent="0.2">
      <c r="K33" s="8" t="s">
        <v>823</v>
      </c>
      <c r="L33" s="10">
        <f>IFERROR((B14-C14)/ABS(C14),"-")</f>
        <v>-0.41572012338767894</v>
      </c>
      <c r="M33" s="10">
        <f>IFERROR((D14-E14)/ABS(E14),"-")</f>
        <v>2.8534305827260806</v>
      </c>
      <c r="N33" s="10">
        <f>IFERROR((F14-G14)/ABS(G14),"-")</f>
        <v>-1.5618479148120699</v>
      </c>
      <c r="O33" s="10">
        <f>IFERROR((H14-I14)/ABS(I14),"-")</f>
        <v>3.8421684245853527</v>
      </c>
      <c r="P33" s="10">
        <f>IFERROR((I14-J14)/ABS(J14),"-")</f>
        <v>0.26728006316807978</v>
      </c>
    </row>
    <row r="34" spans="1:16" ht="15" customHeight="1" x14ac:dyDescent="0.2">
      <c r="K34" s="8" t="s">
        <v>876</v>
      </c>
      <c r="L34" s="10">
        <f>IFERROR((B16-C16)/ABS(C16),"-")</f>
        <v>-1.0723128836817795</v>
      </c>
      <c r="M34" s="10">
        <f>IFERROR((D16-E16)/ABS(E16),"-")</f>
        <v>0.97975643263472323</v>
      </c>
      <c r="N34" s="10">
        <f>IFERROR((F16-G16)/ABS(G16),"-")</f>
        <v>-0.36988254635854712</v>
      </c>
      <c r="O34" s="10">
        <f>IFERROR((H16-I16)/ABS(I16),"-")</f>
        <v>-73.268471753173756</v>
      </c>
      <c r="P34" s="10">
        <f>IFERROR((I16-J16)/ABS(J16),"-")</f>
        <v>0.99521176068794359</v>
      </c>
    </row>
    <row r="35" spans="1:16" ht="15" customHeight="1" x14ac:dyDescent="0.2">
      <c r="K35" s="8" t="s">
        <v>824</v>
      </c>
      <c r="L35" s="10">
        <f>IFERROR((B18-C18)/ABS(C18),"-")</f>
        <v>-1.0487548545045893</v>
      </c>
      <c r="M35" s="10">
        <f>IFERROR((D18-E18)/ABS(E18),"-")</f>
        <v>1.4190793406391908</v>
      </c>
      <c r="N35" s="10">
        <f>IFERROR((F18-G18)/ABS(G18),"-")</f>
        <v>-0.36988254635854712</v>
      </c>
      <c r="O35" s="10">
        <f>IFERROR((H18-I18)/ABS(I18),"-")</f>
        <v>-80.415121786369482</v>
      </c>
      <c r="P35" s="10">
        <f>IFERROR((I18-J18)/ABS(J18),"-")</f>
        <v>0.99504991733951342</v>
      </c>
    </row>
    <row r="36" spans="1:16" ht="15" customHeight="1" x14ac:dyDescent="0.2">
      <c r="K36" s="8" t="s">
        <v>877</v>
      </c>
      <c r="L36" s="10">
        <f>IFERROR((B20-C20)/ABS(C20),"-")</f>
        <v>-1.420490624243187</v>
      </c>
      <c r="M36" s="10">
        <f>IFERROR((D20-E20)/ABS(E20),"-")</f>
        <v>0.85877575309405163</v>
      </c>
      <c r="N36" s="10">
        <f>IFERROR((F20-G20)/ABS(G20),"-")</f>
        <v>-0.17173859856471535</v>
      </c>
      <c r="O36" s="10">
        <f>IFERROR((H20-I20)/ABS(I20),"-")</f>
        <v>-1.4552517813822381</v>
      </c>
      <c r="P36" s="10">
        <f>IFERROR((I20-J20)/ABS(J20),"-")</f>
        <v>-1.6223844250128743</v>
      </c>
    </row>
    <row r="37" spans="1:16" ht="15" customHeight="1" x14ac:dyDescent="0.2">
      <c r="K37" s="8" t="s">
        <v>138</v>
      </c>
      <c r="L37" s="10">
        <f>IFERROR((B21-C21)/ABS(C21),"-")</f>
        <v>0.67455879690671117</v>
      </c>
      <c r="M37" s="10">
        <f>IFERROR((D21-E21)/ABS(E21),"-")</f>
        <v>0.72173725263624144</v>
      </c>
      <c r="N37" s="10">
        <f>IFERROR((F21-G21)/ABS(G21),"-")</f>
        <v>-5.0308777469593977</v>
      </c>
      <c r="O37" s="10" t="str">
        <f>IFERROR((H21-I21)/ABS(I21),"-")</f>
        <v>-</v>
      </c>
      <c r="P37" s="10" t="str">
        <f>IFERROR((I21-J21)/ABS(J21),"-")</f>
        <v>-</v>
      </c>
    </row>
    <row r="38" spans="1:16" ht="15" customHeight="1" x14ac:dyDescent="0.2">
      <c r="K38" s="8" t="s">
        <v>825</v>
      </c>
      <c r="L38" s="10">
        <f>IFERROR((B23-C23)/ABS(C23),"-")</f>
        <v>0.32144370241686021</v>
      </c>
      <c r="M38" s="10">
        <f>IFERROR((D23-E23)/ABS(E23),"-")</f>
        <v>0.42497250819083449</v>
      </c>
      <c r="N38" s="10">
        <f>IFERROR((F23-G23)/ABS(G23),"-")</f>
        <v>-0.35448515146961668</v>
      </c>
      <c r="O38" s="10">
        <f>IFERROR((H23-I23)/ABS(I23),"-")</f>
        <v>-1.0610213930836629</v>
      </c>
      <c r="P38" s="10">
        <f>IFERROR((I23-J23)/ABS(J23),"-")</f>
        <v>-0.847406682954427</v>
      </c>
    </row>
    <row r="39" spans="1:16" ht="15" customHeight="1" x14ac:dyDescent="0.2">
      <c r="K39" s="8" t="s">
        <v>140</v>
      </c>
      <c r="L39" s="10">
        <f>IFERROR((B26-C26)/ABS(C26),"-")</f>
        <v>-48.312858172765694</v>
      </c>
      <c r="M39" s="10">
        <f>IFERROR((D26-E26)/ABS(E26),"-")</f>
        <v>1.001284889942061</v>
      </c>
      <c r="N39" s="10">
        <f>IFERROR((F26-G26)/ABS(G26),"-")</f>
        <v>-2.115227197023835</v>
      </c>
      <c r="O39" s="10">
        <f t="shared" ref="O39:P41" si="27">IFERROR((H26-I26)/ABS(I26),"-")</f>
        <v>9.1919586800587503</v>
      </c>
      <c r="P39" s="10">
        <f t="shared" si="27"/>
        <v>2.3139451712604742</v>
      </c>
    </row>
    <row r="40" spans="1:16" ht="15" customHeight="1" x14ac:dyDescent="0.2">
      <c r="K40" s="8" t="s">
        <v>141</v>
      </c>
      <c r="L40" s="10">
        <f>IFERROR((B27-C27)/ABS(C27),"-")</f>
        <v>1.0595918255216918E-2</v>
      </c>
      <c r="M40" s="10">
        <f>IFERROR((D27-E27)/ABS(E27),"-")</f>
        <v>-0.8918516365974295</v>
      </c>
      <c r="N40" s="10">
        <f>IFERROR((F27-G27)/ABS(G27),"-")</f>
        <v>3.9926106292193859</v>
      </c>
      <c r="O40" s="10">
        <f t="shared" si="27"/>
        <v>2.4079782354175654</v>
      </c>
      <c r="P40" s="10">
        <f t="shared" si="27"/>
        <v>2.6579096213673443</v>
      </c>
    </row>
    <row r="41" spans="1:16" ht="15" customHeight="1" x14ac:dyDescent="0.2">
      <c r="K41" s="8" t="s">
        <v>142</v>
      </c>
      <c r="L41" s="10">
        <f>IFERROR((B28-C28)/ABS(C28),"-")</f>
        <v>-0.49606689336807075</v>
      </c>
      <c r="M41" s="10">
        <f>IFERROR((D28-E28)/ABS(E28),"-")</f>
        <v>1.0595918066824772E-2</v>
      </c>
      <c r="N41" s="10">
        <f>IFERROR((F28-G28)/ABS(G28),"-")</f>
        <v>-0.89185163665128386</v>
      </c>
      <c r="O41" s="10">
        <f t="shared" si="27"/>
        <v>7.2013413767736614</v>
      </c>
      <c r="P41" s="10">
        <f t="shared" si="27"/>
        <v>2.4079782354175641</v>
      </c>
    </row>
    <row r="43" spans="1:16" ht="15" customHeight="1" x14ac:dyDescent="0.2">
      <c r="A43" s="1" t="s">
        <v>143</v>
      </c>
    </row>
    <row r="44" spans="1:16" ht="30" customHeight="1" x14ac:dyDescent="0.2">
      <c r="A44" s="264" t="s">
        <v>914</v>
      </c>
      <c r="B44" s="264"/>
      <c r="C44" s="264"/>
      <c r="D44" s="264"/>
      <c r="E44" s="264"/>
      <c r="F44" s="264"/>
      <c r="G44" s="264"/>
      <c r="H44" s="264"/>
      <c r="I44" s="264"/>
      <c r="J44" s="264"/>
    </row>
    <row r="45" spans="1:16" ht="30" customHeight="1" x14ac:dyDescent="0.2">
      <c r="A45" s="264" t="s">
        <v>879</v>
      </c>
      <c r="B45" s="264"/>
      <c r="C45" s="264"/>
      <c r="D45" s="264"/>
      <c r="E45" s="264"/>
      <c r="F45" s="264"/>
      <c r="G45" s="264"/>
      <c r="H45" s="264"/>
      <c r="I45" s="264"/>
      <c r="J45" s="264"/>
    </row>
    <row r="46" spans="1:16" ht="30" customHeight="1" x14ac:dyDescent="0.2">
      <c r="A46" s="264" t="s">
        <v>880</v>
      </c>
      <c r="B46" s="264"/>
      <c r="C46" s="264"/>
      <c r="D46" s="264"/>
      <c r="E46" s="264"/>
      <c r="F46" s="264"/>
      <c r="G46" s="264"/>
      <c r="H46" s="264"/>
      <c r="I46" s="264"/>
      <c r="J46" s="264"/>
    </row>
    <row r="47" spans="1:16" ht="30" customHeight="1" x14ac:dyDescent="0.2">
      <c r="A47" s="264" t="s">
        <v>915</v>
      </c>
      <c r="B47" s="264"/>
      <c r="C47" s="264"/>
      <c r="D47" s="264"/>
      <c r="E47" s="264"/>
      <c r="F47" s="264"/>
      <c r="G47" s="264"/>
      <c r="H47" s="264"/>
      <c r="I47" s="264"/>
      <c r="J47" s="264"/>
    </row>
  </sheetData>
  <mergeCells count="10">
    <mergeCell ref="A1:J1"/>
    <mergeCell ref="L1:T1"/>
    <mergeCell ref="A3:J3"/>
    <mergeCell ref="A15:J15"/>
    <mergeCell ref="A19:J19"/>
    <mergeCell ref="L31:T31"/>
    <mergeCell ref="A44:J44"/>
    <mergeCell ref="A45:J45"/>
    <mergeCell ref="A46:J46"/>
    <mergeCell ref="A47:J47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50"/>
  <sheetViews>
    <sheetView tabSelected="1" zoomScaleNormal="100"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A45" sqref="A45:I51"/>
    </sheetView>
  </sheetViews>
  <sheetFormatPr baseColWidth="10" defaultColWidth="8.6640625" defaultRowHeight="15" x14ac:dyDescent="0.2"/>
  <cols>
    <col min="1" max="1" width="53" customWidth="1"/>
    <col min="2" max="2" width="42" customWidth="1"/>
    <col min="3" max="3" width="19" customWidth="1"/>
    <col min="4" max="9" width="14" customWidth="1"/>
  </cols>
  <sheetData>
    <row r="1" spans="1:9" ht="21.75" customHeight="1" x14ac:dyDescent="0.2">
      <c r="A1" s="254" t="s">
        <v>916</v>
      </c>
      <c r="B1" s="254"/>
      <c r="C1" s="254"/>
      <c r="D1" s="254"/>
      <c r="E1" s="254"/>
      <c r="F1" s="254"/>
      <c r="G1" s="254"/>
      <c r="H1" s="254"/>
      <c r="I1" s="254"/>
    </row>
    <row r="2" spans="1:9" ht="15" customHeight="1" x14ac:dyDescent="0.2">
      <c r="A2" s="6" t="s">
        <v>149</v>
      </c>
      <c r="B2" s="6" t="s">
        <v>150</v>
      </c>
      <c r="C2" s="6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</row>
    <row r="3" spans="1:9" ht="15" customHeight="1" x14ac:dyDescent="0.2">
      <c r="A3" s="253" t="s">
        <v>158</v>
      </c>
      <c r="B3" s="253"/>
      <c r="C3" s="253"/>
      <c r="D3" s="253"/>
      <c r="E3" s="253"/>
      <c r="F3" s="253"/>
      <c r="G3" s="253"/>
      <c r="H3" s="253"/>
      <c r="I3" s="253"/>
    </row>
    <row r="4" spans="1:9" ht="15" customHeight="1" x14ac:dyDescent="0.2">
      <c r="A4" s="8" t="s">
        <v>159</v>
      </c>
      <c r="B4" s="8" t="s">
        <v>160</v>
      </c>
      <c r="C4" s="8" t="s">
        <v>883</v>
      </c>
      <c r="D4" s="18">
        <f>IFERROR(AYEN_BS!B9/AYEN_BS!B22,"-")</f>
        <v>0.61443071902492485</v>
      </c>
      <c r="E4" s="18">
        <f>IFERROR(AYEN_BS!D9/AYEN_BS!D22,"-")</f>
        <v>1.0309427260079682</v>
      </c>
      <c r="F4" s="18">
        <f>IFERROR(AYEN_BS!F9/AYEN_BS!F22,"-")</f>
        <v>1.1841925937895141</v>
      </c>
      <c r="G4" s="18">
        <f>IFERROR(AYEN_BS!H9/AYEN_BS!H22,"-")</f>
        <v>1.4584665598566535</v>
      </c>
      <c r="H4" s="18">
        <f>IFERROR(AYEN_BS!I9/AYEN_BS!I22,"-")</f>
        <v>0.61952639689983757</v>
      </c>
      <c r="I4" s="18">
        <f>IFERROR(AYEN_BS!J9/AYEN_BS!J22,"-")</f>
        <v>0.34361456549913377</v>
      </c>
    </row>
    <row r="5" spans="1:9" ht="15" customHeight="1" x14ac:dyDescent="0.2">
      <c r="A5" s="8" t="s">
        <v>162</v>
      </c>
      <c r="B5" s="8" t="s">
        <v>917</v>
      </c>
      <c r="C5" s="8" t="s">
        <v>884</v>
      </c>
      <c r="D5" s="18">
        <f>IFERROR((AYEN_BS!B5+AYEN_BS!B6+AYEN_BS!B7)/AYEN_BS!B22,"-")</f>
        <v>0.3987385723890256</v>
      </c>
      <c r="E5" s="18">
        <f>IFERROR((AYEN_BS!D5+AYEN_BS!D6+AYEN_BS!D7)/AYEN_BS!D22,"-")</f>
        <v>0.67886522067457233</v>
      </c>
      <c r="F5" s="18">
        <f>IFERROR((AYEN_BS!F5+AYEN_BS!F6+AYEN_BS!F7)/AYEN_BS!F22,"-")</f>
        <v>0.50014235775420801</v>
      </c>
      <c r="G5" s="18">
        <f>IFERROR((AYEN_BS!H5+AYEN_BS!H6+AYEN_BS!H7)/AYEN_BS!H22,"-")</f>
        <v>1.1545526069133052</v>
      </c>
      <c r="H5" s="18">
        <f>IFERROR((AYEN_BS!I5+AYEN_BS!I6+AYEN_BS!I7)/AYEN_BS!I22,"-")</f>
        <v>0.49130501228589563</v>
      </c>
      <c r="I5" s="18">
        <f>IFERROR((AYEN_BS!J5+AYEN_BS!J6+AYEN_BS!J7)/AYEN_BS!J22,"-")</f>
        <v>0.27511905260884822</v>
      </c>
    </row>
    <row r="6" spans="1:9" ht="15" customHeight="1" x14ac:dyDescent="0.2">
      <c r="A6" s="8" t="s">
        <v>165</v>
      </c>
      <c r="B6" s="8" t="s">
        <v>525</v>
      </c>
      <c r="C6" s="8" t="s">
        <v>167</v>
      </c>
      <c r="D6" s="18">
        <f>IFERROR(AYEN_BS!B5/AYEN_BS!B22,"-")</f>
        <v>0.12829817666283111</v>
      </c>
      <c r="E6" s="18">
        <f>IFERROR(AYEN_BS!D5/AYEN_BS!D22,"-")</f>
        <v>0.25275990737430842</v>
      </c>
      <c r="F6" s="18">
        <f>IFERROR(AYEN_BS!F5/AYEN_BS!F22,"-")</f>
        <v>0.21950708838908622</v>
      </c>
      <c r="G6" s="18">
        <f>IFERROR(AYEN_BS!H5/AYEN_BS!H22,"-")</f>
        <v>0.90563911370242445</v>
      </c>
      <c r="H6" s="18">
        <f>IFERROR(AYEN_BS!I5/AYEN_BS!I22,"-")</f>
        <v>0.20680612227837841</v>
      </c>
      <c r="I6" s="18">
        <f>IFERROR(AYEN_BS!J5/AYEN_BS!J22,"-")</f>
        <v>0.12084097422071313</v>
      </c>
    </row>
    <row r="7" spans="1:9" ht="15" customHeight="1" x14ac:dyDescent="0.2">
      <c r="A7" s="253" t="s">
        <v>168</v>
      </c>
      <c r="B7" s="253"/>
      <c r="C7" s="253"/>
      <c r="D7" s="253"/>
      <c r="E7" s="253"/>
      <c r="F7" s="253"/>
      <c r="G7" s="253"/>
      <c r="H7" s="253"/>
      <c r="I7" s="253"/>
    </row>
    <row r="8" spans="1:9" ht="15" customHeight="1" x14ac:dyDescent="0.2">
      <c r="A8" s="8" t="s">
        <v>169</v>
      </c>
      <c r="B8" s="8" t="s">
        <v>170</v>
      </c>
      <c r="C8" s="8" t="s">
        <v>918</v>
      </c>
      <c r="D8" s="10">
        <f>IFERROR(AYEN_BS!B27/AYEN_BS!B16,"-")</f>
        <v>0.32518930822715203</v>
      </c>
      <c r="E8" s="10">
        <f>IFERROR(AYEN_BS!D27/AYEN_BS!D16,"-")</f>
        <v>0.34547684637632825</v>
      </c>
      <c r="F8" s="10">
        <f>IFERROR(AYEN_BS!F27/AYEN_BS!F16,"-")</f>
        <v>0.36261579707798869</v>
      </c>
      <c r="G8" s="10">
        <f>IFERROR(AYEN_BS!H27/AYEN_BS!H16,"-")</f>
        <v>0.55166295287060585</v>
      </c>
      <c r="H8" s="10">
        <f>IFERROR(AYEN_BS!I27/AYEN_BS!I16,"-")</f>
        <v>0.67481571107479377</v>
      </c>
      <c r="I8" s="10">
        <f>IFERROR(AYEN_BS!J27/AYEN_BS!J16,"-")</f>
        <v>0.73799990969191887</v>
      </c>
    </row>
    <row r="9" spans="1:9" ht="15" customHeight="1" x14ac:dyDescent="0.2">
      <c r="A9" s="8" t="s">
        <v>172</v>
      </c>
      <c r="B9" s="8" t="s">
        <v>173</v>
      </c>
      <c r="C9" s="8" t="s">
        <v>919</v>
      </c>
      <c r="D9" s="18">
        <f>IFERROR(AYEN_BS!B27/AYEN_BS!B33,"-")</f>
        <v>0.48189708934934306</v>
      </c>
      <c r="E9" s="18">
        <f>IFERROR(AYEN_BS!D27/AYEN_BS!D33,"-")</f>
        <v>0.52782983224297897</v>
      </c>
      <c r="F9" s="18">
        <f>IFERROR(AYEN_BS!F27/AYEN_BS!F33,"-")</f>
        <v>0.56891243211805398</v>
      </c>
      <c r="G9" s="18">
        <f>IFERROR(AYEN_BS!H27/AYEN_BS!H33,"-")</f>
        <v>1.2304647951865346</v>
      </c>
      <c r="H9" s="18">
        <f>IFERROR(AYEN_BS!I27/AYEN_BS!I33,"-")</f>
        <v>2.0751793184879364</v>
      </c>
      <c r="I9" s="18">
        <f>IFERROR(AYEN_BS!J27/AYEN_BS!J33,"-")</f>
        <v>2.8167925775297173</v>
      </c>
    </row>
    <row r="10" spans="1:9" ht="15" customHeight="1" x14ac:dyDescent="0.2">
      <c r="A10" s="8" t="s">
        <v>784</v>
      </c>
      <c r="B10" s="8" t="s">
        <v>176</v>
      </c>
      <c r="C10" s="8" t="s">
        <v>919</v>
      </c>
      <c r="D10" s="18">
        <f>IFERROR((AYEN_BS!B19+AYEN_BS!B24)/AYEN_BS!B33,"-")</f>
        <v>0.39309761159059919</v>
      </c>
      <c r="E10" s="18">
        <f>IFERROR((AYEN_BS!D19+AYEN_BS!D24)/AYEN_BS!D33,"-")</f>
        <v>0.43549005106851341</v>
      </c>
      <c r="F10" s="18">
        <f>IFERROR((AYEN_BS!F19+AYEN_BS!F24)/AYEN_BS!F33,"-")</f>
        <v>0.50979097454508771</v>
      </c>
      <c r="G10" s="18">
        <f>IFERROR((AYEN_BS!H19+AYEN_BS!H24)/AYEN_BS!H33,"-")</f>
        <v>0.90364184929138858</v>
      </c>
      <c r="H10" s="18">
        <f>IFERROR((AYEN_BS!I19+AYEN_BS!I24)/AYEN_BS!I33,"-")</f>
        <v>1.9189652136685542</v>
      </c>
      <c r="I10" s="18">
        <f>IFERROR((AYEN_BS!J19+AYEN_BS!J24)/AYEN_BS!J33,"-")</f>
        <v>2.6406042645901935</v>
      </c>
    </row>
    <row r="11" spans="1:9" ht="15" customHeight="1" x14ac:dyDescent="0.2">
      <c r="A11" s="8" t="s">
        <v>178</v>
      </c>
      <c r="B11" s="8" t="s">
        <v>920</v>
      </c>
      <c r="C11" s="8" t="s">
        <v>921</v>
      </c>
      <c r="D11" s="18">
        <f>IFERROR((AYEN_BS!B19+AYEN_BS!B24-AYEN_BS!B5)/AYEN_PLS!B13,"-")</f>
        <v>2.9758131320498213</v>
      </c>
      <c r="E11" s="18">
        <f>IFERROR((AYEN_BS!D19+AYEN_BS!D24-AYEN_BS!D5)/AYEN_PLS!D13,"-")</f>
        <v>2.2880200910901562</v>
      </c>
      <c r="F11" s="18">
        <f>IFERROR((AYEN_BS!F19+AYEN_BS!F24-AYEN_BS!F5)/AYEN_PLS!F13,"-")</f>
        <v>2.7920445343942011</v>
      </c>
      <c r="G11" s="18">
        <f>IFERROR((AYEN_BS!H19+AYEN_BS!H24-AYEN_BS!H5)/AYEN_PLS!H13,"-")</f>
        <v>0.71897002935580923</v>
      </c>
      <c r="H11" s="18">
        <f>IFERROR((AYEN_BS!I19+AYEN_BS!I24-AYEN_BS!I5)/AYEN_PLS!I13,"-")</f>
        <v>3.9274112866576885</v>
      </c>
      <c r="I11" s="18">
        <f>IFERROR((AYEN_BS!J19+AYEN_BS!J24-AYEN_BS!J5)/AYEN_PLS!J13,"-")</f>
        <v>6.6552048062705884</v>
      </c>
    </row>
    <row r="12" spans="1:9" ht="15" customHeight="1" x14ac:dyDescent="0.2">
      <c r="A12" s="8" t="s">
        <v>181</v>
      </c>
      <c r="B12" s="8" t="s">
        <v>833</v>
      </c>
      <c r="C12" s="8" t="s">
        <v>569</v>
      </c>
      <c r="D12" s="18">
        <f>IFERROR(AYEN_PLS!B11/ABS(AYEN_PLS!B15),"-")</f>
        <v>7.3888337228119951</v>
      </c>
      <c r="E12" s="18">
        <f>IFERROR(AYEN_PLS!D11/ABS(AYEN_PLS!D15),"-")</f>
        <v>84.418730620121707</v>
      </c>
      <c r="F12" s="18">
        <f>IFERROR(AYEN_PLS!F11/ABS(AYEN_PLS!F15),"-")</f>
        <v>2.6321194404058343</v>
      </c>
      <c r="G12" s="18">
        <f>IFERROR(AYEN_PLS!H11/ABS(AYEN_PLS!H15),"-")</f>
        <v>4.8209138621993786</v>
      </c>
      <c r="H12" s="18">
        <f>IFERROR(AYEN_PLS!I11/ABS(AYEN_PLS!I15),"-")</f>
        <v>1.2539160523058277</v>
      </c>
      <c r="I12" s="18">
        <f>IFERROR(AYEN_PLS!J11/ABS(AYEN_PLS!J15),"-")</f>
        <v>0.7527673517531176</v>
      </c>
    </row>
    <row r="13" spans="1:9" ht="15" customHeight="1" x14ac:dyDescent="0.2">
      <c r="A13" s="8" t="s">
        <v>184</v>
      </c>
      <c r="B13" s="8" t="s">
        <v>185</v>
      </c>
      <c r="C13" s="8" t="s">
        <v>922</v>
      </c>
      <c r="D13" s="18">
        <f>IFERROR(AYEN_BS!B16/AYEN_BS!B33,"-")</f>
        <v>1.4818970893493433</v>
      </c>
      <c r="E13" s="18">
        <f>IFERROR(AYEN_BS!D16/AYEN_BS!D33,"-")</f>
        <v>1.5278298322429789</v>
      </c>
      <c r="F13" s="18">
        <f>IFERROR(AYEN_BS!F16/AYEN_BS!F33,"-")</f>
        <v>1.5689124321180541</v>
      </c>
      <c r="G13" s="18">
        <f>IFERROR(AYEN_BS!H16/AYEN_BS!H33,"-")</f>
        <v>2.2304647951865344</v>
      </c>
      <c r="H13" s="18">
        <f>IFERROR(AYEN_BS!I16/AYEN_BS!I33,"-")</f>
        <v>3.0751793184879368</v>
      </c>
      <c r="I13" s="18">
        <f>IFERROR(AYEN_BS!J16/AYEN_BS!J33,"-")</f>
        <v>3.8167925775297173</v>
      </c>
    </row>
    <row r="14" spans="1:9" ht="15" customHeight="1" x14ac:dyDescent="0.2">
      <c r="A14" s="253" t="s">
        <v>187</v>
      </c>
      <c r="B14" s="253"/>
      <c r="C14" s="253"/>
      <c r="D14" s="253"/>
      <c r="E14" s="253"/>
      <c r="F14" s="253"/>
      <c r="G14" s="253"/>
      <c r="H14" s="253"/>
      <c r="I14" s="253"/>
    </row>
    <row r="15" spans="1:9" ht="15" customHeight="1" x14ac:dyDescent="0.2">
      <c r="A15" s="8" t="s">
        <v>188</v>
      </c>
      <c r="B15" s="8" t="s">
        <v>189</v>
      </c>
      <c r="C15" s="8" t="s">
        <v>205</v>
      </c>
      <c r="D15" s="10">
        <f>IFERROR(AYEN_PLS!B6/AYEN_PLS!B4,"-")</f>
        <v>0.19714570425204631</v>
      </c>
      <c r="E15" s="10">
        <f>IFERROR(AYEN_PLS!D6/AYEN_PLS!D4,"-")</f>
        <v>0.24903233263263921</v>
      </c>
      <c r="F15" s="10">
        <f>IFERROR(AYEN_PLS!F6/AYEN_PLS!F4,"-")</f>
        <v>0.1972703086784553</v>
      </c>
      <c r="G15" s="10">
        <f>IFERROR(AYEN_PLS!H6/AYEN_PLS!H4,"-")</f>
        <v>0.37862314046096751</v>
      </c>
      <c r="H15" s="10">
        <f>IFERROR(AYEN_PLS!I6/AYEN_PLS!I4,"-")</f>
        <v>0.36027475041219259</v>
      </c>
      <c r="I15" s="10">
        <f>IFERROR(AYEN_PLS!J6/AYEN_PLS!J4,"-")</f>
        <v>0.33325817969021287</v>
      </c>
    </row>
    <row r="16" spans="1:9" ht="15" customHeight="1" x14ac:dyDescent="0.2">
      <c r="A16" s="8" t="s">
        <v>191</v>
      </c>
      <c r="B16" s="8" t="s">
        <v>192</v>
      </c>
      <c r="C16" s="8" t="s">
        <v>923</v>
      </c>
      <c r="D16" s="10">
        <f>IFERROR(AYEN_PLS!B13/AYEN_PLS!B4,"-")</f>
        <v>0.2892071404766639</v>
      </c>
      <c r="E16" s="10">
        <f>IFERROR(AYEN_PLS!D13/AYEN_PLS!D4,"-")</f>
        <v>0.35603649562152556</v>
      </c>
      <c r="F16" s="10">
        <f>IFERROR(AYEN_PLS!F13/AYEN_PLS!F4,"-")</f>
        <v>0.33771466999723632</v>
      </c>
      <c r="G16" s="10">
        <f>IFERROR(AYEN_PLS!H13/AYEN_PLS!H4,"-")</f>
        <v>0.38916710636556734</v>
      </c>
      <c r="H16" s="10">
        <f>IFERROR(AYEN_PLS!I13/AYEN_PLS!I4,"-")</f>
        <v>0.52327532316698311</v>
      </c>
      <c r="I16" s="10">
        <f>IFERROR(AYEN_PLS!J13/AYEN_PLS!J4,"-")</f>
        <v>0.58896780432188367</v>
      </c>
    </row>
    <row r="17" spans="1:9" ht="15" customHeight="1" x14ac:dyDescent="0.2">
      <c r="A17" s="8" t="s">
        <v>194</v>
      </c>
      <c r="B17" s="8" t="s">
        <v>195</v>
      </c>
      <c r="C17" s="8" t="s">
        <v>924</v>
      </c>
      <c r="D17" s="10">
        <f>IFERROR(AYEN_PLS!B11/AYEN_PLS!B4,"-")</f>
        <v>0.17526996765371788</v>
      </c>
      <c r="E17" s="10">
        <f>IFERROR(AYEN_PLS!D11/AYEN_PLS!D4,"-")</f>
        <v>0.23849443338471696</v>
      </c>
      <c r="F17" s="10">
        <f>IFERROR(AYEN_PLS!F11/AYEN_PLS!F4,"-")</f>
        <v>0.2414002911359516</v>
      </c>
      <c r="G17" s="10">
        <f>IFERROR(AYEN_PLS!H11/AYEN_PLS!H4,"-")</f>
        <v>0.36215012322448709</v>
      </c>
      <c r="H17" s="10">
        <f>IFERROR(AYEN_PLS!I11/AYEN_PLS!I4,"-")</f>
        <v>0.44717433422712821</v>
      </c>
      <c r="I17" s="10">
        <f>IFERROR(AYEN_PLS!J11/AYEN_PLS!J4,"-")</f>
        <v>0.43588163950814868</v>
      </c>
    </row>
    <row r="18" spans="1:9" ht="15" customHeight="1" x14ac:dyDescent="0.2">
      <c r="A18" s="8" t="s">
        <v>197</v>
      </c>
      <c r="B18" s="8" t="s">
        <v>198</v>
      </c>
      <c r="C18" s="8" t="s">
        <v>208</v>
      </c>
      <c r="D18" s="10">
        <f>IFERROR(AYEN_PLS!B19/AYEN_PLS!B4,"-")</f>
        <v>3.5986256628168928E-2</v>
      </c>
      <c r="E18" s="10">
        <f>IFERROR(AYEN_PLS!D19/AYEN_PLS!D4,"-")</f>
        <v>0.12160311281639775</v>
      </c>
      <c r="F18" s="10">
        <f>IFERROR(AYEN_PLS!F19/AYEN_PLS!F4,"-")</f>
        <v>0.2539081962790638</v>
      </c>
      <c r="G18" s="10">
        <f>IFERROR(AYEN_PLS!H19/AYEN_PLS!H4,"-")</f>
        <v>0.24374923884531544</v>
      </c>
      <c r="H18" s="10">
        <f>IFERROR(AYEN_PLS!I19/AYEN_PLS!I4,"-")</f>
        <v>8.2188152423742014E-2</v>
      </c>
      <c r="I18" s="10">
        <f>IFERROR(AYEN_PLS!J19/AYEN_PLS!J4,"-")</f>
        <v>-0.17561484337089112</v>
      </c>
    </row>
    <row r="19" spans="1:9" ht="15" customHeight="1" x14ac:dyDescent="0.2">
      <c r="A19" s="8" t="s">
        <v>200</v>
      </c>
      <c r="B19" s="8" t="s">
        <v>380</v>
      </c>
      <c r="C19" s="8" t="s">
        <v>925</v>
      </c>
      <c r="D19" s="10">
        <f>IFERROR(AYEN_PLS!B19/AYEN_BS!B16,"-")</f>
        <v>1.0557463565092415E-2</v>
      </c>
      <c r="E19" s="10">
        <f>IFERROR(AYEN_PLS!D19/AYEN_BS!D16,"-")</f>
        <v>3.8738893888500707E-2</v>
      </c>
      <c r="F19" s="10">
        <f>IFERROR(AYEN_PLS!F19/AYEN_BS!F16,"-")</f>
        <v>8.1662351736225672E-2</v>
      </c>
      <c r="G19" s="10">
        <f>IFERROR(AYEN_PLS!H19/AYEN_BS!H16,"-")</f>
        <v>0.17199236525873141</v>
      </c>
      <c r="H19" s="10">
        <f>IFERROR(AYEN_PLS!I19/AYEN_BS!I16,"-")</f>
        <v>2.320769624289333E-2</v>
      </c>
      <c r="I19" s="10">
        <f>IFERROR(AYEN_PLS!J19/AYEN_BS!J16,"-")</f>
        <v>-3.0031929349184524E-2</v>
      </c>
    </row>
    <row r="20" spans="1:9" ht="15" customHeight="1" x14ac:dyDescent="0.2">
      <c r="A20" s="8" t="s">
        <v>203</v>
      </c>
      <c r="B20" s="8" t="s">
        <v>382</v>
      </c>
      <c r="C20" s="8" t="s">
        <v>208</v>
      </c>
      <c r="D20" s="10">
        <f>IFERROR(AYEN_PLS!B19/AYEN_BS!B33,"-")</f>
        <v>1.5645074528022194E-2</v>
      </c>
      <c r="E20" s="10">
        <f>IFERROR(AYEN_PLS!D19/AYEN_BS!D33,"-")</f>
        <v>5.9186437750946598E-2</v>
      </c>
      <c r="F20" s="10">
        <f>IFERROR(AYEN_PLS!F19/AYEN_BS!F33,"-")</f>
        <v>0.12812107887496182</v>
      </c>
      <c r="G20" s="10">
        <f>IFERROR(AYEN_PLS!H19/AYEN_BS!H33,"-")</f>
        <v>0.38362291575046398</v>
      </c>
      <c r="H20" s="10">
        <f>IFERROR(AYEN_PLS!I19/AYEN_BS!I33,"-")</f>
        <v>7.1367827515895751E-2</v>
      </c>
      <c r="I20" s="10">
        <f>IFERROR(AYEN_PLS!J19/AYEN_BS!J33,"-")</f>
        <v>-0.11462564502886437</v>
      </c>
    </row>
    <row r="21" spans="1:9" ht="15" customHeight="1" x14ac:dyDescent="0.2">
      <c r="A21" s="8" t="s">
        <v>206</v>
      </c>
      <c r="B21" s="8" t="s">
        <v>207</v>
      </c>
      <c r="C21" s="8" t="s">
        <v>208</v>
      </c>
      <c r="D21" s="18">
        <f>IFERROR((AYEN_PLS!B19/AYEN_BS!B33)/(AYEN_PLS!B19/AYEN_BS!B16),"-")</f>
        <v>1.4818970893493435</v>
      </c>
      <c r="E21" s="18">
        <f>IFERROR((AYEN_PLS!D19/AYEN_BS!D33)/(AYEN_PLS!D19/AYEN_BS!D16),"-")</f>
        <v>1.5278298322429789</v>
      </c>
      <c r="F21" s="18">
        <f>IFERROR((AYEN_PLS!F19/AYEN_BS!F33)/(AYEN_PLS!F19/AYEN_BS!F16),"-")</f>
        <v>1.5689124321180541</v>
      </c>
      <c r="G21" s="18">
        <f>IFERROR((AYEN_PLS!H19/AYEN_BS!H33)/(AYEN_PLS!H19/AYEN_BS!H16),"-")</f>
        <v>2.2304647951865344</v>
      </c>
      <c r="H21" s="18">
        <f>IFERROR((AYEN_PLS!I19/AYEN_BS!I33)/(AYEN_PLS!I19/AYEN_BS!I16),"-")</f>
        <v>3.0751793184879364</v>
      </c>
      <c r="I21" s="18">
        <f>IFERROR((AYEN_PLS!J19/AYEN_BS!J33)/(AYEN_PLS!J19/AYEN_BS!J16),"-")</f>
        <v>3.8167925775297173</v>
      </c>
    </row>
    <row r="22" spans="1:9" ht="15" customHeight="1" x14ac:dyDescent="0.2">
      <c r="A22" s="253" t="s">
        <v>209</v>
      </c>
      <c r="B22" s="253"/>
      <c r="C22" s="253"/>
      <c r="D22" s="253"/>
      <c r="E22" s="253"/>
      <c r="F22" s="253"/>
      <c r="G22" s="253"/>
      <c r="H22" s="253"/>
      <c r="I22" s="253"/>
    </row>
    <row r="23" spans="1:9" ht="15" customHeight="1" x14ac:dyDescent="0.2">
      <c r="A23" s="8" t="s">
        <v>210</v>
      </c>
      <c r="B23" s="8" t="s">
        <v>211</v>
      </c>
      <c r="C23" s="8" t="s">
        <v>926</v>
      </c>
      <c r="D23" s="18">
        <f>IFERROR(AYEN_PLS!B4/AYEN_BS!B16,"-")</f>
        <v>0.29337487569708376</v>
      </c>
      <c r="E23" s="18">
        <f>IFERROR(AYEN_PLS!D4/AYEN_BS!D16,"-")</f>
        <v>0.31856827503248669</v>
      </c>
      <c r="F23" s="18">
        <f>IFERROR(AYEN_PLS!F4/AYEN_BS!F16,"-")</f>
        <v>0.32162156611310305</v>
      </c>
      <c r="G23" s="18">
        <f>IFERROR(AYEN_PLS!H4/AYEN_BS!H16,"-")</f>
        <v>0.70561190702990739</v>
      </c>
      <c r="H23" s="18">
        <f>IFERROR(AYEN_PLS!I4/AYEN_BS!I16,"-")</f>
        <v>0.28237276977878911</v>
      </c>
      <c r="I23" s="18">
        <f>IFERROR(AYEN_PLS!J4/AYEN_BS!J16,"-")</f>
        <v>0.17101019921054375</v>
      </c>
    </row>
    <row r="24" spans="1:9" ht="15" customHeight="1" x14ac:dyDescent="0.2">
      <c r="A24" s="8" t="s">
        <v>213</v>
      </c>
      <c r="B24" s="8" t="s">
        <v>214</v>
      </c>
      <c r="C24" s="8" t="s">
        <v>927</v>
      </c>
      <c r="D24" s="18">
        <f>IFERROR(AYEN_PLS!B4/AYEN_BS!B7,"-")</f>
        <v>10.890067754402091</v>
      </c>
      <c r="E24" s="18">
        <f>IFERROR(AYEN_PLS!D4/AYEN_BS!D7,"-")</f>
        <v>9.6741876948241714</v>
      </c>
      <c r="F24" s="18">
        <f>IFERROR(AYEN_PLS!F4/AYEN_BS!F7,"-")</f>
        <v>20.24357016304559</v>
      </c>
      <c r="G24" s="18">
        <f>IFERROR(AYEN_PLS!H4/AYEN_BS!H7,"-")</f>
        <v>15.413298361961354</v>
      </c>
      <c r="H24" s="18">
        <f>IFERROR(AYEN_PLS!I4/AYEN_BS!I7,"-")</f>
        <v>5.7720772171057533</v>
      </c>
      <c r="I24" s="18">
        <f>IFERROR(AYEN_PLS!J4/AYEN_BS!J7,"-")</f>
        <v>10.084953820790115</v>
      </c>
    </row>
    <row r="25" spans="1:9" ht="15" customHeight="1" x14ac:dyDescent="0.2">
      <c r="A25" s="8" t="s">
        <v>216</v>
      </c>
      <c r="B25" s="8" t="s">
        <v>217</v>
      </c>
      <c r="C25" s="8" t="s">
        <v>928</v>
      </c>
      <c r="D25" s="19">
        <f>IFERROR(365/(AYEN_PLS!B4/AYEN_BS!B7),"-")</f>
        <v>33.516779530821196</v>
      </c>
      <c r="E25" s="19">
        <f>IFERROR(365/(AYEN_PLS!D4/AYEN_BS!D7),"-")</f>
        <v>37.729265909868609</v>
      </c>
      <c r="F25" s="19">
        <f>IFERROR(365/(AYEN_PLS!F4/AYEN_BS!F7),"-")</f>
        <v>18.030416426560144</v>
      </c>
      <c r="G25" s="19">
        <f>IFERROR(365/(AYEN_PLS!H4/AYEN_BS!H7),"-")</f>
        <v>23.680849577322622</v>
      </c>
      <c r="H25" s="19">
        <f>IFERROR(365/(AYEN_PLS!I4/AYEN_BS!I7),"-")</f>
        <v>63.235467280013111</v>
      </c>
      <c r="I25" s="19">
        <f>IFERROR(365/(AYEN_PLS!J4/AYEN_BS!J7),"-")</f>
        <v>36.192530623943277</v>
      </c>
    </row>
    <row r="26" spans="1:9" ht="15" customHeight="1" x14ac:dyDescent="0.2">
      <c r="A26" s="8" t="s">
        <v>225</v>
      </c>
      <c r="B26" s="8" t="s">
        <v>226</v>
      </c>
      <c r="C26" s="8" t="s">
        <v>929</v>
      </c>
      <c r="D26" s="18">
        <f>IFERROR(AYEN_PLS!B4/AYEN_BS!B20,"-")</f>
        <v>23.419731833303167</v>
      </c>
      <c r="E26" s="18">
        <f>IFERROR(AYEN_PLS!D4/AYEN_BS!D20,"-")</f>
        <v>14.745007318516999</v>
      </c>
      <c r="F26" s="18">
        <f>IFERROR(AYEN_PLS!F4/AYEN_BS!F20,"-")</f>
        <v>36.421548918485975</v>
      </c>
      <c r="G26" s="18">
        <f>IFERROR(AYEN_PLS!H4/AYEN_BS!H20,"-")</f>
        <v>17.245753318722976</v>
      </c>
      <c r="H26" s="18">
        <f>IFERROR(AYEN_PLS!I4/AYEN_BS!I20,"-")</f>
        <v>13.098849185414704</v>
      </c>
      <c r="I26" s="18">
        <f>IFERROR(AYEN_PLS!J4/AYEN_BS!J20,"-")</f>
        <v>18.9833627484226</v>
      </c>
    </row>
    <row r="27" spans="1:9" ht="15" customHeight="1" x14ac:dyDescent="0.2">
      <c r="A27" s="8" t="s">
        <v>834</v>
      </c>
      <c r="B27" s="8" t="s">
        <v>835</v>
      </c>
      <c r="C27" s="8" t="s">
        <v>930</v>
      </c>
      <c r="D27" s="19">
        <f>IFERROR(365/(AYEN_PLS!B4/AYEN_BS!B20),"-")</f>
        <v>15.585148566089266</v>
      </c>
      <c r="E27" s="19">
        <f>IFERROR(365/(AYEN_PLS!D4/AYEN_BS!D20),"-")</f>
        <v>24.754141664048387</v>
      </c>
      <c r="F27" s="19">
        <f>IFERROR(365/(AYEN_PLS!F4/AYEN_BS!F20),"-")</f>
        <v>10.021539743323274</v>
      </c>
      <c r="G27" s="19">
        <f>IFERROR(365/(AYEN_PLS!H4/AYEN_BS!H20),"-")</f>
        <v>21.164630692225845</v>
      </c>
      <c r="H27" s="19">
        <f>IFERROR(365/(AYEN_PLS!I4/AYEN_BS!I20),"-")</f>
        <v>27.865043320478865</v>
      </c>
      <c r="I27" s="19">
        <f>IFERROR(365/(AYEN_PLS!J4/AYEN_BS!J20),"-")</f>
        <v>19.227362656299093</v>
      </c>
    </row>
    <row r="28" spans="1:9" ht="15" customHeight="1" x14ac:dyDescent="0.2">
      <c r="A28" s="253" t="s">
        <v>228</v>
      </c>
      <c r="B28" s="253"/>
      <c r="C28" s="253"/>
      <c r="D28" s="253"/>
      <c r="E28" s="253"/>
      <c r="F28" s="253"/>
      <c r="G28" s="253"/>
      <c r="H28" s="253"/>
      <c r="I28" s="253"/>
    </row>
    <row r="29" spans="1:9" ht="15" customHeight="1" x14ac:dyDescent="0.2">
      <c r="A29" s="8" t="s">
        <v>229</v>
      </c>
      <c r="B29" s="8" t="s">
        <v>230</v>
      </c>
      <c r="C29" s="8" t="s">
        <v>208</v>
      </c>
      <c r="D29" s="18">
        <f>IFERROR(AYEN_CFS!B14/AYEN_PLS!B19,"-")</f>
        <v>5.7692181947966334</v>
      </c>
      <c r="E29" s="18">
        <f>IFERROR(AYEN_CFS!D14/AYEN_PLS!D19,"-")</f>
        <v>2.9313241973663464</v>
      </c>
      <c r="F29" s="18">
        <f>IFERROR(AYEN_CFS!F14/AYEN_PLS!F19,"-")</f>
        <v>-1.627080699960503</v>
      </c>
      <c r="G29" s="18">
        <f>IFERROR(AYEN_CFS!H14/AYEN_PLS!H19,"-")</f>
        <v>1.5294607040852606</v>
      </c>
      <c r="H29" s="18">
        <f>IFERROR(AYEN_CFS!I14/AYEN_PLS!I19,"-")</f>
        <v>4.0399241360437985</v>
      </c>
      <c r="I29" s="18">
        <f>IFERROR(AYEN_CFS!J14/AYEN_PLS!J19,"-")</f>
        <v>-4.1354305359782657</v>
      </c>
    </row>
    <row r="30" spans="1:9" ht="15" customHeight="1" x14ac:dyDescent="0.2">
      <c r="A30" s="8" t="s">
        <v>232</v>
      </c>
      <c r="B30" s="8" t="s">
        <v>837</v>
      </c>
      <c r="C30" s="8" t="s">
        <v>569</v>
      </c>
      <c r="D30" s="18">
        <f>IFERROR(AYEN_PLS!B13/ABS(AYEN_PLS!B15),"-")</f>
        <v>12.192068618703095</v>
      </c>
      <c r="E30" s="18">
        <f>IFERROR(AYEN_PLS!D13/ABS(AYEN_PLS!D15),"-")</f>
        <v>126.0245305865145</v>
      </c>
      <c r="F30" s="18">
        <f>IFERROR(AYEN_PLS!F13/ABS(AYEN_PLS!F15),"-")</f>
        <v>3.6822878051516259</v>
      </c>
      <c r="G30" s="18">
        <f>IFERROR(AYEN_PLS!H13/ABS(AYEN_PLS!H15),"-")</f>
        <v>5.1805618097962496</v>
      </c>
      <c r="H30" s="18">
        <f>IFERROR(AYEN_PLS!I13/ABS(AYEN_PLS!I15),"-")</f>
        <v>1.4673098996807188</v>
      </c>
      <c r="I30" s="18">
        <f>IFERROR(AYEN_PLS!J13/ABS(AYEN_PLS!J15),"-")</f>
        <v>1.017147074209223</v>
      </c>
    </row>
    <row r="31" spans="1:9" ht="15" customHeight="1" x14ac:dyDescent="0.2">
      <c r="A31" s="8" t="s">
        <v>235</v>
      </c>
      <c r="B31" s="8" t="s">
        <v>236</v>
      </c>
      <c r="C31" s="8" t="s">
        <v>208</v>
      </c>
      <c r="D31" s="10">
        <f>IFERROR((AYEN_CFS!B14+AYEN_CFS!B16)/AYEN_PLS!B4,"-")</f>
        <v>0.20654947062376811</v>
      </c>
      <c r="E31" s="10">
        <f>IFERROR((AYEN_CFS!D14+AYEN_CFS!D16)/AYEN_PLS!D4,"-")</f>
        <v>0.35574585385312574</v>
      </c>
      <c r="F31" s="10">
        <f>IFERROR((AYEN_CFS!F14+AYEN_CFS!F16)/AYEN_PLS!F4,"-")</f>
        <v>-0.44303068000881241</v>
      </c>
      <c r="G31" s="10">
        <f>IFERROR((AYEN_CFS!H14+AYEN_CFS!H16)/AYEN_PLS!H4,"-")</f>
        <v>0.36336742847577752</v>
      </c>
      <c r="H31" s="10">
        <f>IFERROR((AYEN_CFS!I14+AYEN_CFS!I16)/AYEN_PLS!I4,"-")</f>
        <v>0.33148588738798668</v>
      </c>
      <c r="I31" s="10">
        <f>IFERROR((AYEN_CFS!J14+AYEN_CFS!J16)/AYEN_PLS!J4,"-")</f>
        <v>0.40900340644582178</v>
      </c>
    </row>
    <row r="32" spans="1:9" ht="15" customHeight="1" x14ac:dyDescent="0.2">
      <c r="A32" s="253" t="s">
        <v>238</v>
      </c>
      <c r="B32" s="253"/>
      <c r="C32" s="253"/>
      <c r="D32" s="253"/>
      <c r="E32" s="253"/>
      <c r="F32" s="253"/>
      <c r="G32" s="253"/>
      <c r="H32" s="253"/>
      <c r="I32" s="253"/>
    </row>
    <row r="33" spans="1:9" ht="15" customHeight="1" x14ac:dyDescent="0.2">
      <c r="A33" s="8" t="s">
        <v>239</v>
      </c>
      <c r="B33" s="8" t="s">
        <v>240</v>
      </c>
      <c r="C33" s="8" t="s">
        <v>208</v>
      </c>
      <c r="D33" s="20">
        <f>IFERROR(AYEN_BS!B29/1000,"-")</f>
        <v>277.5</v>
      </c>
      <c r="E33" s="20">
        <f>IFERROR(AYEN_BS!D29/1000,"-")</f>
        <v>277.5</v>
      </c>
      <c r="F33" s="20">
        <f>IFERROR(AYEN_BS!F29/1000,"-")</f>
        <v>277.5</v>
      </c>
      <c r="G33" s="20">
        <f>IFERROR(AYEN_BS!H29/1000,"-")</f>
        <v>277.5</v>
      </c>
      <c r="H33" s="20">
        <f>IFERROR(AYEN_BS!I29/1000,"-")</f>
        <v>277.5</v>
      </c>
      <c r="I33" s="20">
        <f>IFERROR(AYEN_BS!J29/1000,"-")</f>
        <v>277.5</v>
      </c>
    </row>
    <row r="34" spans="1:9" ht="15" customHeight="1" x14ac:dyDescent="0.2">
      <c r="A34" s="8" t="s">
        <v>241</v>
      </c>
      <c r="B34" s="8" t="s">
        <v>398</v>
      </c>
      <c r="C34" s="8" t="s">
        <v>208</v>
      </c>
      <c r="D34" s="15">
        <f>IFERROR(AYEN_PLS!B19/AYEN_BS!B29,"-")</f>
        <v>1.0204735963963949</v>
      </c>
      <c r="E34" s="15">
        <f>IFERROR(AYEN_PLS!D19/AYEN_BS!D29,"-")</f>
        <v>2.8421666990990975</v>
      </c>
      <c r="F34" s="15">
        <f>IFERROR(AYEN_PLS!F19/AYEN_BS!F29,"-")</f>
        <v>4.8367788612612594</v>
      </c>
      <c r="G34" s="15">
        <f>IFERROR(AYEN_PLS!H19/AYEN_BS!H29,"-")</f>
        <v>5.9644341873873881</v>
      </c>
      <c r="H34" s="15">
        <f>IFERROR(AYEN_PLS!I19/AYEN_BS!I29,"-")</f>
        <v>0.46633120000000039</v>
      </c>
      <c r="I34" s="15">
        <f>IFERROR(AYEN_PLS!J19/AYEN_BS!J29,"-")</f>
        <v>-0.35947968288288296</v>
      </c>
    </row>
    <row r="35" spans="1:9" ht="15" customHeight="1" x14ac:dyDescent="0.2">
      <c r="A35" s="8" t="s">
        <v>243</v>
      </c>
      <c r="B35" s="8" t="s">
        <v>244</v>
      </c>
      <c r="C35" s="8" t="s">
        <v>208</v>
      </c>
      <c r="D35" s="21">
        <f>IFERROR(AYEN_BS!B33/AYEN_BS!B29,"-")</f>
        <v>65.226509120720721</v>
      </c>
      <c r="E35" s="21">
        <f>IFERROR(AYEN_BS!D33/AYEN_BS!D29,"-")</f>
        <v>48.020573751351357</v>
      </c>
      <c r="F35" s="21">
        <f>IFERROR(AYEN_BS!F33/AYEN_BS!F29,"-")</f>
        <v>37.751624508108108</v>
      </c>
      <c r="G35" s="21">
        <f>IFERROR(AYEN_BS!H33/AYEN_BS!H29,"-")</f>
        <v>15.547648335135138</v>
      </c>
      <c r="H35" s="21">
        <f>IFERROR(AYEN_BS!I33/AYEN_BS!I29,"-")</f>
        <v>6.5341935747747746</v>
      </c>
      <c r="I35" s="21">
        <f>IFERROR(AYEN_BS!J33/AYEN_BS!J29,"-")</f>
        <v>3.1361191711711709</v>
      </c>
    </row>
    <row r="36" spans="1:9" ht="15" customHeight="1" x14ac:dyDescent="0.2">
      <c r="A36" s="8" t="s">
        <v>245</v>
      </c>
      <c r="B36" s="8" t="s">
        <v>246</v>
      </c>
      <c r="C36" s="8" t="s">
        <v>208</v>
      </c>
      <c r="D36" s="15">
        <f>IFERROR(ABS(AYEN_CFS!B21)/AYEN_BS!B29,"-")</f>
        <v>0.28042456216216216</v>
      </c>
      <c r="E36" s="15">
        <f>IFERROR(ABS(AYEN_CFS!D21)/AYEN_BS!D29,"-")</f>
        <v>0.56375778018018019</v>
      </c>
      <c r="F36" s="15">
        <f>IFERROR(ABS(AYEN_CFS!F21)/AYEN_BS!F29,"-")</f>
        <v>1.4032470522522522</v>
      </c>
      <c r="G36" s="15">
        <f>IFERROR(ABS(AYEN_CFS!H21)/AYEN_BS!H29,"-")</f>
        <v>3.4353297297297303E-2</v>
      </c>
      <c r="H36" s="15">
        <f>IFERROR(ABS(AYEN_CFS!I21)/AYEN_BS!I29,"-")</f>
        <v>0</v>
      </c>
      <c r="I36" s="15">
        <f>IFERROR(ABS(AYEN_CFS!J21)/AYEN_BS!J29,"-")</f>
        <v>0</v>
      </c>
    </row>
    <row r="37" spans="1:9" ht="15" customHeight="1" x14ac:dyDescent="0.2">
      <c r="A37" s="253" t="s">
        <v>247</v>
      </c>
      <c r="B37" s="253"/>
      <c r="C37" s="253"/>
      <c r="D37" s="253"/>
      <c r="E37" s="253"/>
      <c r="F37" s="253"/>
      <c r="G37" s="253"/>
      <c r="H37" s="253"/>
      <c r="I37" s="253"/>
    </row>
    <row r="38" spans="1:9" ht="18" customHeight="1" x14ac:dyDescent="0.2">
      <c r="A38" s="8" t="s">
        <v>248</v>
      </c>
      <c r="B38" s="8" t="s">
        <v>838</v>
      </c>
      <c r="C38" s="8" t="s">
        <v>208</v>
      </c>
      <c r="D38" s="21">
        <v>24.24</v>
      </c>
      <c r="E38" s="21">
        <v>30.5</v>
      </c>
      <c r="F38" s="21">
        <v>24.2</v>
      </c>
      <c r="G38" s="21">
        <v>38.130000000000003</v>
      </c>
      <c r="H38" s="21">
        <v>7.15</v>
      </c>
      <c r="I38" s="21">
        <v>5.18</v>
      </c>
    </row>
    <row r="39" spans="1:9" ht="15" customHeight="1" x14ac:dyDescent="0.2">
      <c r="A39" s="8" t="s">
        <v>252</v>
      </c>
      <c r="B39" s="8" t="s">
        <v>253</v>
      </c>
      <c r="C39" s="251" t="s">
        <v>208</v>
      </c>
      <c r="D39" s="9">
        <f>IFERROR(D38*AYEN_BS!B29,"-")</f>
        <v>6726600</v>
      </c>
      <c r="E39" s="9">
        <f>IFERROR(E38*AYEN_BS!D29,"-")</f>
        <v>8463750</v>
      </c>
      <c r="F39" s="9">
        <f>IFERROR(F38*AYEN_BS!F29,"-")</f>
        <v>6715500</v>
      </c>
      <c r="G39" s="9">
        <f>IFERROR(G38*AYEN_BS!H29,"-")</f>
        <v>10581075</v>
      </c>
      <c r="H39" s="9">
        <f>IFERROR(H38*AYEN_BS!I29,"-")</f>
        <v>1984125</v>
      </c>
      <c r="I39" s="9">
        <f>IFERROR(I38*AYEN_BS!J29,"-")</f>
        <v>1437450</v>
      </c>
    </row>
    <row r="40" spans="1:9" ht="15" customHeight="1" x14ac:dyDescent="0.2">
      <c r="A40" s="8" t="s">
        <v>255</v>
      </c>
      <c r="B40" s="8" t="s">
        <v>256</v>
      </c>
      <c r="C40" s="8" t="s">
        <v>208</v>
      </c>
      <c r="D40" s="18">
        <f>IFERROR(D39/AYEN_PLS!B19,"-")</f>
        <v>23.753676808100543</v>
      </c>
      <c r="E40" s="18">
        <f>IFERROR(E39/AYEN_PLS!D19,"-")</f>
        <v>10.731249511039522</v>
      </c>
      <c r="F40" s="18">
        <f>IFERROR(F39/AYEN_PLS!F19,"-")</f>
        <v>5.003329838753368</v>
      </c>
      <c r="G40" s="18">
        <f>IFERROR(G39/AYEN_PLS!H19,"-")</f>
        <v>6.3928947494518589</v>
      </c>
      <c r="H40" s="18">
        <f>IFERROR(H39/AYEN_PLS!I19,"-")</f>
        <v>15.332450412925393</v>
      </c>
      <c r="I40" s="18">
        <f>IFERROR(I39/AYEN_PLS!J19,"-")</f>
        <v>-14.409715615799136</v>
      </c>
    </row>
    <row r="41" spans="1:9" ht="15" customHeight="1" x14ac:dyDescent="0.2">
      <c r="A41" s="8" t="s">
        <v>259</v>
      </c>
      <c r="B41" s="8" t="s">
        <v>260</v>
      </c>
      <c r="C41" s="8" t="s">
        <v>208</v>
      </c>
      <c r="D41" s="18">
        <f>IFERROR(D39/AYEN_BS!B33,"-")</f>
        <v>0.37162804397728527</v>
      </c>
      <c r="E41" s="18">
        <f>IFERROR(E39/AYEN_BS!D33,"-")</f>
        <v>0.63514443117501673</v>
      </c>
      <c r="F41" s="18">
        <f>IFERROR(F39/AYEN_BS!F33,"-")</f>
        <v>0.64103201690837031</v>
      </c>
      <c r="G41" s="18">
        <f>IFERROR(G39/AYEN_BS!H33,"-")</f>
        <v>2.4524609238705541</v>
      </c>
      <c r="H41" s="18">
        <f>IFERROR(H39/AYEN_BS!I33,"-")</f>
        <v>1.094243676465684</v>
      </c>
      <c r="I41" s="18">
        <f>IFERROR(I39/AYEN_BS!J33,"-")</f>
        <v>1.6517229471434753</v>
      </c>
    </row>
    <row r="42" spans="1:9" ht="15" customHeight="1" x14ac:dyDescent="0.2">
      <c r="A42" s="8" t="s">
        <v>262</v>
      </c>
      <c r="B42" s="8" t="s">
        <v>263</v>
      </c>
      <c r="C42" s="8" t="s">
        <v>208</v>
      </c>
      <c r="D42" s="18">
        <f>IFERROR((D39+AYEN_BS!B19+AYEN_BS!B24-AYEN_BS!B5)/AYEN_PLS!B13,"-")</f>
        <v>5.9315005610324567</v>
      </c>
      <c r="E42" s="18">
        <f>IFERROR((E39+AYEN_BS!D19+AYEN_BS!D24-AYEN_BS!D5)/AYEN_PLS!D13,"-")</f>
        <v>5.9532436313730761</v>
      </c>
      <c r="F42" s="18">
        <f>IFERROR((F39+AYEN_BS!F19+AYEN_BS!F24-AYEN_BS!F5)/AYEN_PLS!F13,"-")</f>
        <v>6.5537598746176018</v>
      </c>
      <c r="G42" s="18">
        <f>IFERROR((G39+AYEN_BS!H19+AYEN_BS!H24-AYEN_BS!H5)/AYEN_PLS!H13,"-")</f>
        <v>4.7230680214747442</v>
      </c>
      <c r="H42" s="18">
        <f>IFERROR((H39+AYEN_BS!I19+AYEN_BS!I24-AYEN_BS!I5)/AYEN_PLS!I13,"-")</f>
        <v>6.3356000847463978</v>
      </c>
      <c r="I42" s="18">
        <f>IFERROR((I39+AYEN_BS!J19+AYEN_BS!J24-AYEN_BS!J5)/AYEN_PLS!J13,"-")</f>
        <v>10.951806305229001</v>
      </c>
    </row>
    <row r="43" spans="1:9" ht="15" customHeight="1" x14ac:dyDescent="0.2">
      <c r="A43" s="8" t="s">
        <v>265</v>
      </c>
      <c r="B43" s="8" t="s">
        <v>266</v>
      </c>
      <c r="C43" s="8" t="s">
        <v>208</v>
      </c>
      <c r="D43" s="10">
        <f>IFERROR(ABS(AYEN_CFS!B21)/AYEN_BS!B29/D38,"-")</f>
        <v>1.1568670056194809E-2</v>
      </c>
      <c r="E43" s="10">
        <f>IFERROR(ABS(AYEN_CFS!D21)/AYEN_BS!D29/E38,"-")</f>
        <v>1.8483861645251811E-2</v>
      </c>
      <c r="F43" s="10">
        <f>IFERROR(ABS(AYEN_CFS!F21)/AYEN_BS!F29/F38,"-")</f>
        <v>5.7985415382324476E-2</v>
      </c>
      <c r="G43" s="10">
        <f>IFERROR(ABS(AYEN_CFS!H21)/AYEN_BS!H29/G38,"-")</f>
        <v>9.0095193541298978E-4</v>
      </c>
      <c r="H43" s="10">
        <f>IFERROR(ABS(AYEN_CFS!I21)/AYEN_BS!I29/H38,"-")</f>
        <v>0</v>
      </c>
      <c r="I43" s="10">
        <f>IFERROR(ABS(AYEN_CFS!J21)/AYEN_BS!J29/I38,"-")</f>
        <v>0</v>
      </c>
    </row>
    <row r="45" spans="1:9" ht="15" customHeight="1" x14ac:dyDescent="0.2"/>
    <row r="46" spans="1:9" ht="15" customHeight="1" x14ac:dyDescent="0.2"/>
    <row r="47" spans="1:9" ht="15" customHeight="1" x14ac:dyDescent="0.2"/>
    <row r="48" spans="1:9" ht="15" customHeight="1" x14ac:dyDescent="0.2"/>
    <row r="49" ht="15" customHeight="1" x14ac:dyDescent="0.2"/>
    <row r="50" ht="15" customHeight="1" x14ac:dyDescent="0.2"/>
  </sheetData>
  <mergeCells count="8">
    <mergeCell ref="A1:I1"/>
    <mergeCell ref="A3:I3"/>
    <mergeCell ref="A7:I7"/>
    <mergeCell ref="A14:I14"/>
    <mergeCell ref="A22:I22"/>
    <mergeCell ref="A28:I28"/>
    <mergeCell ref="A32:I32"/>
    <mergeCell ref="A37:I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30</vt:i4>
      </vt:variant>
    </vt:vector>
  </HeadingPairs>
  <TitlesOfParts>
    <vt:vector size="30" baseType="lpstr">
      <vt:lpstr>GWIND_BS</vt:lpstr>
      <vt:lpstr>GWIND_PLS</vt:lpstr>
      <vt:lpstr>GWIND_CFS</vt:lpstr>
      <vt:lpstr>GWIND_Ratios</vt:lpstr>
      <vt:lpstr>ASTOR_BS</vt:lpstr>
      <vt:lpstr>ASTOR_PLS</vt:lpstr>
      <vt:lpstr>ASTOR_CFS</vt:lpstr>
      <vt:lpstr>ASTOR_Ratios</vt:lpstr>
      <vt:lpstr>AKSEN_BS</vt:lpstr>
      <vt:lpstr>AKSEN_PLS</vt:lpstr>
      <vt:lpstr>AKSEN_CFS</vt:lpstr>
      <vt:lpstr>AKSEN_Ratios</vt:lpstr>
      <vt:lpstr>ENJSA_BS</vt:lpstr>
      <vt:lpstr>ENJSA_PLS</vt:lpstr>
      <vt:lpstr>ENJSA_CFS</vt:lpstr>
      <vt:lpstr>ENJSA_Ratios</vt:lpstr>
      <vt:lpstr>ENJSA_Analysis</vt:lpstr>
      <vt:lpstr>SEKTOR_KARSILASTIRMASI</vt:lpstr>
      <vt:lpstr>AYDEM_BS</vt:lpstr>
      <vt:lpstr>AYDEM_PLS</vt:lpstr>
      <vt:lpstr>AYDEM_CFS</vt:lpstr>
      <vt:lpstr>AYDEM_Ratios</vt:lpstr>
      <vt:lpstr>ZOREN_BS</vt:lpstr>
      <vt:lpstr>ZOREN_PLS</vt:lpstr>
      <vt:lpstr>ZOREN_CFS</vt:lpstr>
      <vt:lpstr>ZOREN_Ratios</vt:lpstr>
      <vt:lpstr>AYEN_BS</vt:lpstr>
      <vt:lpstr>AYEN_PLS</vt:lpstr>
      <vt:lpstr>AYEN_CFS</vt:lpstr>
      <vt:lpstr>AYEN_Ratios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beratyilmaz1204@gmail.com</cp:lastModifiedBy>
  <cp:revision>0</cp:revision>
  <dcterms:created xsi:type="dcterms:W3CDTF">2026-05-14T13:23:05Z</dcterms:created>
  <dcterms:modified xsi:type="dcterms:W3CDTF">2026-06-19T09:34:51Z</dcterms:modified>
  <dc:language>en-US</dc:language>
</cp:coreProperties>
</file>